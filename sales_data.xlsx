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F649D23A-DC54-4FA4-BDBC-5D4619AD25B5}" xr6:coauthVersionLast="47" xr6:coauthVersionMax="47" xr10:uidLastSave="{00000000-0000-0000-0000-000000000000}"/>
  <bookViews>
    <workbookView xWindow="-108" yWindow="-108" windowWidth="23256" windowHeight="12576" activeTab="1" xr2:uid="{63CB5D99-F84B-42D2-924E-9AAEEBA1BE85}"/>
  </bookViews>
  <sheets>
    <sheet name="Dashboard" sheetId="5" r:id="rId1"/>
    <sheet name="Sales Dashboard" sheetId="8" r:id="rId2"/>
    <sheet name="Sheet3" sheetId="7" r:id="rId3"/>
    <sheet name="Sheet1" sheetId="9" r:id="rId4"/>
    <sheet name="sales_data" sheetId="1" r:id="rId5"/>
  </sheets>
  <definedNames>
    <definedName name="_xlchart.v2.4" hidden="1">Sheet3!$F$14:$F$25</definedName>
    <definedName name="_xlchart.v2.5" hidden="1">Sheet3!$G$14:$G$25</definedName>
    <definedName name="_xlchart.v5.0" hidden="1">Sheet3!$M$11</definedName>
    <definedName name="_xlchart.v5.1" hidden="1">Sheet3!$M$12:$M$18</definedName>
    <definedName name="_xlchart.v5.2" hidden="1">Sheet3!$N$11</definedName>
    <definedName name="_xlchart.v5.3" hidden="1">Sheet3!$N$12:$N$18</definedName>
    <definedName name="Slicer_Months__Sale_Date">#N/A</definedName>
    <definedName name="Slicer_Months__Sale_Date1">#N/A</definedName>
    <definedName name="Slicer_Product_Category">#N/A</definedName>
    <definedName name="Slicer_Years__Sal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3" i="7" l="1" a="1"/>
  <c r="A13" i="7" s="1"/>
  <c r="A10" i="7" a="1"/>
  <c r="A10" i="7"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AG2" i="1" a="1"/>
  <c r="AG2" i="1" s="1"/>
  <c r="AE39" i="1"/>
  <c r="AE40" i="1"/>
  <c r="AE41" i="1"/>
  <c r="AE42" i="1"/>
  <c r="AD36" i="1"/>
  <c r="AD35" i="1"/>
  <c r="AD32" i="1"/>
  <c r="AD31" i="1"/>
  <c r="AD28" i="1"/>
  <c r="AD27" i="1"/>
  <c r="AD24" i="1"/>
  <c r="AD23" i="1"/>
  <c r="AD13" i="1"/>
  <c r="AD15" i="1"/>
  <c r="AD17" i="1"/>
  <c r="AD19" i="1"/>
  <c r="AD8" i="1" a="1"/>
  <c r="AD8" i="1" s="1"/>
  <c r="AD5" i="1"/>
  <c r="AD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<sst xmlns="http://schemas.openxmlformats.org/spreadsheetml/2006/main" count="6150" uniqueCount="75">
  <si>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</si>
  <si>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</si>
  <si>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</si>
  <si>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</si>
  <si>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</si>
  <si>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</si>
  <si>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</si>
  <si>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</si>
  <si>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</si>
  <si>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</si>
  <si>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</si>
  <si>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</si>
  <si>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</si>
  <si>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</si>
  <si>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</si>
  <si>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</si>
  <si>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</si>
  <si>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</si>
  <si>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</si>
  <si>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</si>
  <si>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West</t>
  </si>
  <si>
    <t>Retail</t>
  </si>
  <si>
    <t>David</t>
  </si>
  <si>
    <t>South</t>
  </si>
  <si>
    <t>Food</t>
  </si>
  <si>
    <t>Bank Transfer</t>
  </si>
  <si>
    <t>Clothing</t>
  </si>
  <si>
    <t>New</t>
  </si>
  <si>
    <t>Credit Card</t>
  </si>
  <si>
    <t>Charlie</t>
  </si>
  <si>
    <t>East</t>
  </si>
  <si>
    <t>Electronics</t>
  </si>
  <si>
    <t>Eve</t>
  </si>
  <si>
    <t>Alice</t>
  </si>
  <si>
    <t>Total unit costs</t>
  </si>
  <si>
    <t>Total  units</t>
  </si>
  <si>
    <t xml:space="preserve">Food </t>
  </si>
  <si>
    <t>Bob - Furniture</t>
  </si>
  <si>
    <t>Profit%</t>
  </si>
  <si>
    <t>Row Labels</t>
  </si>
  <si>
    <t>Grand Total</t>
  </si>
  <si>
    <t>Sum of Sales_Amount</t>
  </si>
  <si>
    <t>Jan</t>
  </si>
  <si>
    <t>States</t>
  </si>
  <si>
    <t>California</t>
  </si>
  <si>
    <t>Virginia</t>
  </si>
  <si>
    <t>Florida</t>
  </si>
  <si>
    <t>Ohio</t>
  </si>
  <si>
    <t>Aleska</t>
  </si>
  <si>
    <t>Texas</t>
  </si>
  <si>
    <t>Illinois</t>
  </si>
  <si>
    <t>Customer Name</t>
  </si>
  <si>
    <t>Quantity</t>
  </si>
  <si>
    <t>Profit</t>
  </si>
  <si>
    <t>Sum of Profit</t>
  </si>
  <si>
    <t>Feb</t>
  </si>
  <si>
    <t>Mar</t>
  </si>
  <si>
    <t>Apr</t>
  </si>
  <si>
    <t>May</t>
  </si>
  <si>
    <t>Jun</t>
  </si>
  <si>
    <t>Jul</t>
  </si>
  <si>
    <t>Aug</t>
  </si>
  <si>
    <t>Sep</t>
  </si>
  <si>
    <t>Oct</t>
  </si>
  <si>
    <t>Nov</t>
  </si>
  <si>
    <t>Dec</t>
  </si>
  <si>
    <t>Total sales</t>
  </si>
  <si>
    <t>Total Profit</t>
  </si>
  <si>
    <t>Sales by product categry</t>
  </si>
  <si>
    <t>Statewise Profit</t>
  </si>
  <si>
    <t>Profit by month</t>
  </si>
  <si>
    <t>Top three Customers</t>
  </si>
  <si>
    <t>Sum of Discount</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</si>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</sst>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6">
    <xf numFmtId="0" fontId="0" fillId="0" borderId="0" xfId="0"/>
    <xf numFmtId="0" fontId="0" fillId="0" borderId="0" xfId="0" applyAlignment="1">
      <alignment horizontal="center"/>
    </xf>
    <xf numFmtId="14" fontId="0" fillId="0" borderId="0" xfId="0" applyNumberFormat="1" applyAlignment="1">
      <alignment horizontal="center"/>
    </xf>
    <xf numFmtId="0" fontId="18" fillId="33" borderId="0" xfId="0" applyFont="1" applyFill="1" applyAlignment="1">
      <alignment horizontal="center"/>
    </xf>
    <xf numFmtId="0" fontId="18" fillId="33" borderId="10" xfId="0" applyFont="1" applyFill="1" applyBorder="1" applyAlignment="1">
      <alignment horizontal="center"/>
    </xf>
    <xf numFmtId="0" fontId="18" fillId="33" borderId="0" xfId="0" applyFont="1" applyFill="1" applyAlignment="1">
      <alignment horizontal="center"/>
    </xf>
    <xf numFmtId="0" fontId="18" fillId="33" borderId="0" xfId="0" applyFont="1" applyFill="1" applyAlignment="1">
      <alignment horizontal="center" vertical="center"/>
    </xf>
    <xf numFmtId="0" fontId="0" fillId="0" borderId="0" xfId="0" applyAlignment="1">
      <alignment horizontal="center" vertical="center"/>
    </xf>
    <xf numFmtId="0" fontId="0" fillId="0" borderId="0" xfId="42" applyNumberFormat="1" applyFont="1" applyAlignment="1">
      <alignment horizontal="center"/>
    </xf>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16" fillId="34" borderId="0" xfId="0" applyFont="1" applyFill="1" applyAlignment="1">
      <alignment horizontal="center" vertical="center"/>
    </xf>
    <xf numFmtId="44" fontId="0" fillId="0" borderId="0" xfId="0" applyNumberFormat="1"/>
    <xf numFmtId="44" fontId="0" fillId="0" borderId="0" xfId="43" applyFont="1" applyAlignment="1">
      <alignment horizontal="center"/>
    </xf>
    <xf numFmtId="44" fontId="16" fillId="34" borderId="0" xfId="43" applyFont="1" applyFill="1" applyAlignment="1">
      <alignment horizontal="center" vertical="center"/>
    </xf>
    <xf numFmtId="0" fontId="16" fillId="35" borderId="11" xfId="0" applyFont="1" applyFill="1" applyBorder="1" applyAlignment="1">
      <alignment horizontal="left"/>
    </xf>
    <xf numFmtId="44" fontId="16" fillId="35" borderId="11" xfId="0" applyNumberFormat="1" applyFont="1" applyFill="1" applyBorder="1"/>
    <xf numFmtId="0" fontId="0" fillId="0" borderId="0" xfId="0" applyNumberFormat="1"/>
    <xf numFmtId="44" fontId="0" fillId="0" borderId="0" xfId="43" applyFont="1"/>
    <xf numFmtId="44" fontId="0" fillId="0" borderId="0" xfId="43" applyFont="1" applyAlignment="1">
      <alignment horizontal="left"/>
    </xf>
    <xf numFmtId="44" fontId="0" fillId="0" borderId="0" xfId="0" applyNumberFormat="1" applyAlignment="1">
      <alignment horizontal="center"/>
    </xf>
    <xf numFmtId="44" fontId="0" fillId="0" borderId="0" xfId="0" applyNumberFormat="1" applyAlignment="1"/>
    <xf numFmtId="0" fontId="16" fillId="34" borderId="0" xfId="0" applyFont="1" applyFill="1" applyAlignment="1">
      <alignment horizontal="center" vertical="center"/>
    </xf>
    <xf numFmtId="0" fontId="16" fillId="34" borderId="0" xfId="0" applyFont="1" applyFill="1" applyAlignment="1">
      <alignment horizontal="center"/>
    </xf>
    <xf numFmtId="0" fontId="18" fillId="33"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6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numFmt numFmtId="34" formatCode="_(&quot;$&quot;* #,##0.00_);_(&quot;$&quot;* \(#,##0.00\);_(&quot;$&quot;* &quot;-&quot;??_);_(@_)"/>
    </dxf>
    <dxf>
      <numFmt numFmtId="34" formatCode="_(&quot;$&quot;* #,##0.00_);_(&quot;$&quot;* \(#,##0.00\);_(&quot;$&quot;* &quot;-&quot;??_);_(@_)"/>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alignment horizontal="center"/>
    </dxf>
    <dxf>
      <alignment horizontal="center"/>
    </dxf>
    <dxf>
      <alignment horizontal="center"/>
    </dxf>
    <dxf>
      <numFmt numFmtId="34" formatCode="_(&quot;$&quot;* #,##0.00_);_(&quot;$&quot;* \(#,##0.00\);_(&quot;$&quot;* &quot;-&quot;??_);_(@_)"/>
    </dxf>
    <dxf>
      <alignment horizontal="center"/>
    </dxf>
    <dxf>
      <alignment horizontal="center"/>
    </dxf>
    <dxf>
      <alignment horizontal="center"/>
    </dxf>
    <dxf>
      <alignment horizontal="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FF0000"/>
        <name val="Aptos Narrow"/>
        <family val="2"/>
        <scheme val="minor"/>
      </font>
      <fill>
        <patternFill patternType="solid">
          <fgColor indexed="64"/>
          <bgColor rgb="FFFFFF00"/>
        </patternFill>
      </fill>
      <alignment horizontal="center" vertical="bottom" textRotation="0" wrapText="0" indent="0" justifyLastLine="0" shrinkToFit="0" readingOrder="0"/>
    </dxf>
    <dxf>
      <numFmt numFmtId="34" formatCode="_(&quot;$&quot;* #,##0.00_);_(&quot;$&quot;* \(#,##0.00\);_(&quot;$&quot;* &quot;-&quot;??_);_(@_)"/>
    </dxf>
    <dxf>
      <alignment horizontal="left" vertical="bottom" textRotation="0" wrapText="0" indent="0" justifyLastLine="0" shrinkToFit="0" readingOrder="0"/>
    </dxf>
    <dxf>
      <numFmt numFmtId="34" formatCode="_(&quot;$&quot;* #,##0.00_);_(&quot;$&quot;* \(#,##0.00\);_(&quot;$&quot;* &quot;-&quot;??_);_(@_)"/>
    </dxf>
    <dxf>
      <alignment horizontal="left" vertical="bottom" textRotation="0" wrapText="0" indent="0" justifyLastLine="0" shrinkToFit="0" readingOrder="0"/>
    </dxf>
    <dxf>
      <font>
        <b/>
        <i val="0"/>
      </font>
      <fill>
        <patternFill>
          <bgColor theme="4"/>
        </patternFill>
      </fill>
    </dxf>
    <dxf>
      <font>
        <color theme="0"/>
      </font>
      <fill>
        <patternFill patternType="solid">
          <bgColor theme="4"/>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3" xr9:uid="{E14A94F6-9D3E-4694-8E68-8960B77B48D3}">
      <tableStyleElement type="wholeTable" dxfId="666"/>
      <tableStyleElement type="headerRow" dxfId="665"/>
    </tableStyle>
  </tableStyles>
  <extLst>
    <ext xmlns:x14="http://schemas.microsoft.com/office/spreadsheetml/2009/9/main" uri="{46F421CA-312F-682f-3DD2-61675219B42D}">
      <x14:dxfs count="1">
        <dxf>
          <font>
            <b/>
            <i val="0"/>
          </font>
          <fill>
            <patternFill>
              <bgColor theme="4" tint="0.59996337778862885"/>
            </patternFill>
          </fill>
        </dxf>
      </x14:dxfs>
    </ext>
    <ext xmlns:x14="http://schemas.microsoft.com/office/spreadsheetml/2009/9/main" uri="{EB79DEF2-80B8-43e5-95BD-54CBDDF9020C}">
      <x14:slicerStyles defaultSlicerStyle="SlicerStyleDark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1" u="none" strike="noStrike" kern="1200" spc="0" baseline="0">
                <a:solidFill>
                  <a:schemeClr val="dk1"/>
                </a:solidFill>
                <a:latin typeface="+mn-lt"/>
                <a:ea typeface="+mn-ea"/>
                <a:cs typeface="+mn-cs"/>
              </a:defRPr>
            </a:pPr>
            <a:r>
              <a:rPr lang="en-US" sz="1600" b="1" i="1" cap="none" spc="0">
                <a:ln w="0"/>
                <a:solidFill>
                  <a:schemeClr val="dk1"/>
                </a:solidFill>
                <a:effectLst>
                  <a:outerShdw blurRad="38100" dist="19050" dir="2700000" algn="tl" rotWithShape="0">
                    <a:schemeClr val="dk1">
                      <a:alpha val="40000"/>
                    </a:schemeClr>
                  </a:outerShdw>
                </a:effectLst>
                <a:latin typeface="+mn-lt"/>
                <a:ea typeface="+mn-ea"/>
                <a:cs typeface="+mn-cs"/>
              </a:rPr>
              <a:t>Sales</a:t>
            </a:r>
            <a:r>
              <a:rPr lang="en-US" sz="1600" b="1" i="1" cap="none" spc="0" baseline="0">
                <a:ln w="0"/>
                <a:solidFill>
                  <a:schemeClr val="dk1"/>
                </a:solidFill>
                <a:effectLst>
                  <a:outerShdw blurRad="38100" dist="19050" dir="2700000" algn="tl" rotWithShape="0">
                    <a:schemeClr val="dk1">
                      <a:alpha val="40000"/>
                    </a:schemeClr>
                  </a:outerShdw>
                </a:effectLst>
                <a:latin typeface="+mn-lt"/>
                <a:ea typeface="+mn-ea"/>
                <a:cs typeface="+mn-cs"/>
              </a:rPr>
              <a:t> By region</a:t>
            </a:r>
            <a:endParaRPr lang="en-US" sz="1600" b="1" i="1"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9050" cap="flat" cmpd="sng" algn="ctr">
          <a:solidFill>
            <a:schemeClr val="accent6"/>
          </a:solidFill>
          <a:prstDash val="solid"/>
          <a:miter lim="800000"/>
        </a:ln>
        <a:effectLst/>
      </c:spPr>
      <c:txPr>
        <a:bodyPr rot="0" spcFirstLastPara="1" vertOverflow="ellipsis" vert="horz" wrap="square" anchor="ctr" anchorCtr="1"/>
        <a:lstStyle/>
        <a:p>
          <a:pPr>
            <a:defRPr sz="1600" b="1" i="1"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General</c:formatCode>
              <c:ptCount val="1"/>
              <c:pt idx="0">
                <c:v>495420.37000000011</c:v>
              </c:pt>
            </c:numLit>
          </c:val>
          <c:extLst>
            <c:ext xmlns:c16="http://schemas.microsoft.com/office/drawing/2014/chart" uri="{C3380CC4-5D6E-409C-BE32-E72D297353CC}">
              <c16:uniqueId val="{00000000-7DE9-41EA-95CF-8D0B7A27966C}"/>
            </c:ext>
          </c:extLst>
        </c:ser>
        <c:dLbls>
          <c:dLblPos val="outEnd"/>
          <c:showLegendKey val="0"/>
          <c:showVal val="1"/>
          <c:showCatName val="0"/>
          <c:showSerName val="0"/>
          <c:showPercent val="0"/>
          <c:showBubbleSize val="0"/>
        </c:dLbls>
        <c:gapWidth val="219"/>
        <c:overlap val="-27"/>
        <c:axId val="1248906143"/>
        <c:axId val="1248905183"/>
      </c:barChart>
      <c:catAx>
        <c:axId val="124890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accent1">
                    <a:lumMod val="60000"/>
                    <a:lumOff val="40000"/>
                  </a:schemeClr>
                </a:solidFill>
                <a:latin typeface="+mn-lt"/>
                <a:ea typeface="+mn-ea"/>
                <a:cs typeface="+mn-cs"/>
              </a:defRPr>
            </a:pPr>
            <a:endParaRPr lang="en-US"/>
          </a:p>
        </c:txPr>
        <c:crossAx val="1248905183"/>
        <c:crosses val="autoZero"/>
        <c:auto val="1"/>
        <c:lblAlgn val="ctr"/>
        <c:lblOffset val="100"/>
        <c:noMultiLvlLbl val="0"/>
      </c:catAx>
      <c:valAx>
        <c:axId val="1248905183"/>
        <c:scaling>
          <c:orientation val="minMax"/>
        </c:scaling>
        <c:delete val="1"/>
        <c:axPos val="l"/>
        <c:numFmt formatCode="General" sourceLinked="1"/>
        <c:majorTickMark val="none"/>
        <c:minorTickMark val="none"/>
        <c:tickLblPos val="nextTo"/>
        <c:crossAx val="124890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1" u="none" strike="noStrike" kern="1200" baseline="0">
                <a:solidFill>
                  <a:srgbClr val="FF0000"/>
                </a:solidFill>
                <a:latin typeface="+mn-lt"/>
                <a:ea typeface="+mn-ea"/>
                <a:cs typeface="+mn-cs"/>
              </a:defRPr>
            </a:pPr>
            <a:r>
              <a:rPr lang="en-US" sz="2800" i="1">
                <a:solidFill>
                  <a:srgbClr val="FF0000"/>
                </a:solidFill>
              </a:rPr>
              <a:t>Rep</a:t>
            </a:r>
            <a:r>
              <a:rPr lang="en-US" sz="2800" i="1" baseline="0">
                <a:solidFill>
                  <a:srgbClr val="FF0000"/>
                </a:solidFill>
              </a:rPr>
              <a:t> - Sales Amount</a:t>
            </a:r>
            <a:endParaRPr lang="en-US" sz="2800" i="1">
              <a:solidFill>
                <a:srgbClr val="FF0000"/>
              </a:solidFill>
            </a:endParaRPr>
          </a:p>
        </c:rich>
      </c:tx>
      <c:layout>
        <c:manualLayout>
          <c:xMode val="edge"/>
          <c:yMode val="edge"/>
          <c:x val="0.28804967087447403"/>
          <c:y val="9.2515750372220401E-2"/>
        </c:manualLayout>
      </c:layout>
      <c:overlay val="0"/>
      <c:spPr>
        <a:noFill/>
        <a:ln>
          <a:noFill/>
        </a:ln>
        <a:effectLst/>
      </c:spPr>
      <c:txPr>
        <a:bodyPr rot="0" spcFirstLastPara="1" vertOverflow="ellipsis" vert="horz" wrap="square" anchor="ctr" anchorCtr="1"/>
        <a:lstStyle/>
        <a:p>
          <a:pPr>
            <a:defRPr sz="2800" b="1" i="1" u="none" strike="noStrike" kern="1200" baseline="0">
              <a:solidFill>
                <a:srgbClr val="FF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30526733356153E-4"/>
          <c:y val="0.13652584031546597"/>
          <c:w val="0.78970778652668416"/>
          <c:h val="0.72125801983085447"/>
        </c:manualLayout>
      </c:layout>
      <c:lineChart>
        <c:grouping val="standard"/>
        <c:varyColors val="0"/>
        <c:ser>
          <c:idx val="0"/>
          <c:order val="0"/>
          <c:tx>
            <c:v>Series1</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Lit>
              <c:ptCount val="1"/>
              <c:pt idx="0">
                <c:v>Total</c:v>
              </c:pt>
            </c:strLit>
          </c:cat>
          <c:val>
            <c:numLit>
              <c:formatCode>General</c:formatCode>
              <c:ptCount val="1"/>
              <c:pt idx="0">
                <c:v>495420.37000000011</c:v>
              </c:pt>
            </c:numLit>
          </c:val>
          <c:smooth val="0"/>
          <c:extLst>
            <c:ext xmlns:c16="http://schemas.microsoft.com/office/drawing/2014/chart" uri="{C3380CC4-5D6E-409C-BE32-E72D297353CC}">
              <c16:uniqueId val="{00000000-90D8-470A-B00B-0C02733BE9BD}"/>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49860943"/>
        <c:axId val="1249862863"/>
      </c:lineChart>
      <c:catAx>
        <c:axId val="1249860943"/>
        <c:scaling>
          <c:orientation val="minMax"/>
        </c:scaling>
        <c:delete val="0"/>
        <c:axPos val="b"/>
        <c:numFmt formatCode="General" sourceLinked="1"/>
        <c:majorTickMark val="none"/>
        <c:minorTickMark val="none"/>
        <c:tickLblPos val="nextTo"/>
        <c:spPr>
          <a:noFill/>
          <a:ln w="12700" cap="flat" cmpd="sng" algn="ctr">
            <a:solidFill>
              <a:schemeClr val="accent6"/>
            </a:solidFill>
            <a:round/>
          </a:ln>
          <a:effectLst/>
        </c:spPr>
        <c:txPr>
          <a:bodyPr rot="-60000000" spcFirstLastPara="1" vertOverflow="ellipsis" vert="horz" wrap="square" anchor="ctr" anchorCtr="1"/>
          <a:lstStyle/>
          <a:p>
            <a:pPr>
              <a:defRPr sz="1600" b="1" i="0" u="none" strike="noStrike" kern="1200" baseline="0">
                <a:solidFill>
                  <a:schemeClr val="accent2"/>
                </a:solidFill>
                <a:latin typeface="+mn-lt"/>
                <a:ea typeface="+mn-ea"/>
                <a:cs typeface="+mn-cs"/>
              </a:defRPr>
            </a:pPr>
            <a:endParaRPr lang="en-US"/>
          </a:p>
        </c:txPr>
        <c:crossAx val="1249862863"/>
        <c:crosses val="autoZero"/>
        <c:auto val="1"/>
        <c:lblAlgn val="ctr"/>
        <c:lblOffset val="100"/>
        <c:noMultiLvlLbl val="0"/>
      </c:catAx>
      <c:valAx>
        <c:axId val="1249862863"/>
        <c:scaling>
          <c:orientation val="minMax"/>
        </c:scaling>
        <c:delete val="1"/>
        <c:axPos val="l"/>
        <c:numFmt formatCode="General" sourceLinked="1"/>
        <c:majorTickMark val="none"/>
        <c:minorTickMark val="none"/>
        <c:tickLblPos val="nextTo"/>
        <c:crossAx val="124986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1" u="none" strike="noStrike" kern="1200" spc="0" baseline="0">
                <a:solidFill>
                  <a:schemeClr val="accent6">
                    <a:lumMod val="50000"/>
                  </a:schemeClr>
                </a:solidFill>
                <a:latin typeface="+mn-lt"/>
                <a:ea typeface="+mn-ea"/>
                <a:cs typeface="+mn-cs"/>
              </a:defRPr>
            </a:pPr>
            <a:r>
              <a:rPr lang="en-US" sz="2800" b="1" i="1" u="none">
                <a:solidFill>
                  <a:schemeClr val="accent6">
                    <a:lumMod val="50000"/>
                  </a:schemeClr>
                </a:solidFill>
              </a:rPr>
              <a:t>Payment</a:t>
            </a:r>
            <a:r>
              <a:rPr lang="en-US" sz="2800" b="1" i="1" u="none" baseline="0">
                <a:solidFill>
                  <a:schemeClr val="accent6">
                    <a:lumMod val="50000"/>
                  </a:schemeClr>
                </a:solidFill>
              </a:rPr>
              <a:t> Method</a:t>
            </a:r>
            <a:endParaRPr lang="en-US" sz="2800" b="1" i="1" u="none">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2800" b="1" i="1"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9194423328393856"/>
              <c:y val="-1.791750719307634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8500057472524281"/>
              <c:y val="6.51223314043269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65-4FC3-8B86-745A232EF1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65-4FC3-8B86-745A232EF129}"/>
              </c:ext>
            </c:extLst>
          </c:dPt>
          <c:dLbls>
            <c:dLbl>
              <c:idx val="0"/>
              <c:layout>
                <c:manualLayout>
                  <c:x val="-0.19194423328393856"/>
                  <c:y val="-1.79175071930763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65-4FC3-8B86-745A232EF129}"/>
                </c:ext>
              </c:extLst>
            </c:dLbl>
            <c:dLbl>
              <c:idx val="1"/>
              <c:layout>
                <c:manualLayout>
                  <c:x val="0.18500057472524281"/>
                  <c:y val="6.51223314043269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65-4FC3-8B86-745A232EF129}"/>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Online</c:v>
              </c:pt>
              <c:pt idx="1">
                <c:v>Retail</c:v>
              </c:pt>
            </c:strLit>
          </c:cat>
          <c:val>
            <c:numLit>
              <c:formatCode>General</c:formatCode>
              <c:ptCount val="2"/>
              <c:pt idx="0">
                <c:v>284098.02999999997</c:v>
              </c:pt>
              <c:pt idx="1">
                <c:v>211322.34000000003</c:v>
              </c:pt>
            </c:numLit>
          </c:val>
          <c:extLst>
            <c:ext xmlns:c16="http://schemas.microsoft.com/office/drawing/2014/chart" uri="{C3380CC4-5D6E-409C-BE32-E72D297353CC}">
              <c16:uniqueId val="{00000004-0065-4FC3-8B86-745A232EF1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727318460192475"/>
          <c:y val="0.45911964129483807"/>
          <c:w val="0.1222904636920385"/>
          <c:h val="0.1674343832020997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1" u="none" strike="noStrike" kern="1200" spc="0" baseline="0">
                <a:solidFill>
                  <a:srgbClr val="FF0000"/>
                </a:solidFill>
                <a:latin typeface="+mn-lt"/>
                <a:ea typeface="+mn-ea"/>
                <a:cs typeface="+mn-cs"/>
              </a:defRPr>
            </a:pPr>
            <a:r>
              <a:rPr lang="en-US" sz="2400" b="1" i="1">
                <a:solidFill>
                  <a:srgbClr val="FF0000"/>
                </a:solidFill>
              </a:rPr>
              <a:t>Sales_Rep</a:t>
            </a:r>
            <a:r>
              <a:rPr lang="en-US" sz="2400" b="1" i="1" baseline="0">
                <a:solidFill>
                  <a:srgbClr val="FF0000"/>
                </a:solidFill>
              </a:rPr>
              <a:t> - Regions</a:t>
            </a:r>
            <a:endParaRPr lang="en-US" sz="2400" b="1" i="1">
              <a:solidFill>
                <a:srgbClr val="FF0000"/>
              </a:solidFill>
            </a:endParaRPr>
          </a:p>
        </c:rich>
      </c:tx>
      <c:layout>
        <c:manualLayout>
          <c:xMode val="edge"/>
          <c:yMode val="edge"/>
          <c:x val="0.39372426555602963"/>
          <c:y val="3.8306441072226444E-2"/>
        </c:manualLayout>
      </c:layout>
      <c:overlay val="0"/>
      <c:spPr>
        <a:noFill/>
        <a:ln>
          <a:noFill/>
        </a:ln>
        <a:effectLst/>
      </c:spPr>
      <c:txPr>
        <a:bodyPr rot="0" spcFirstLastPara="1" vertOverflow="ellipsis" vert="horz" wrap="square" anchor="ctr" anchorCtr="1"/>
        <a:lstStyle/>
        <a:p>
          <a:pPr>
            <a:defRPr sz="2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Series1</c:v>
          </c:tx>
          <c:spPr>
            <a:solidFill>
              <a:schemeClr val="accent1"/>
            </a:solidFill>
            <a:ln>
              <a:noFill/>
            </a:ln>
            <a:effectLst/>
            <a:sp3d/>
          </c:spPr>
          <c:invertIfNegative val="0"/>
          <c:cat>
            <c:strLit>
              <c:ptCount val="20"/>
              <c:pt idx="0">
                <c:v>East-Alice</c:v>
              </c:pt>
              <c:pt idx="1">
                <c:v>East-Bob</c:v>
              </c:pt>
              <c:pt idx="2">
                <c:v>East-Charlie</c:v>
              </c:pt>
              <c:pt idx="3">
                <c:v>East-David</c:v>
              </c:pt>
              <c:pt idx="4">
                <c:v>East-Eve</c:v>
              </c:pt>
              <c:pt idx="5">
                <c:v>North-Alice</c:v>
              </c:pt>
              <c:pt idx="6">
                <c:v>North-Bob</c:v>
              </c:pt>
              <c:pt idx="7">
                <c:v>North-Charlie</c:v>
              </c:pt>
              <c:pt idx="8">
                <c:v>North-David</c:v>
              </c:pt>
              <c:pt idx="9">
                <c:v>North-Eve</c:v>
              </c:pt>
              <c:pt idx="10">
                <c:v>South-Alice</c:v>
              </c:pt>
              <c:pt idx="11">
                <c:v>South-Bob</c:v>
              </c:pt>
              <c:pt idx="12">
                <c:v>South-Charlie</c:v>
              </c:pt>
              <c:pt idx="13">
                <c:v>South-David</c:v>
              </c:pt>
              <c:pt idx="14">
                <c:v>South-Eve</c:v>
              </c:pt>
              <c:pt idx="15">
                <c:v>West-Alice</c:v>
              </c:pt>
              <c:pt idx="16">
                <c:v>West-Bob</c:v>
              </c:pt>
              <c:pt idx="17">
                <c:v>West-Charlie</c:v>
              </c:pt>
              <c:pt idx="18">
                <c:v>West-David</c:v>
              </c:pt>
              <c:pt idx="19">
                <c:v>West-Eve</c:v>
              </c:pt>
            </c:strLit>
          </c:cat>
          <c:val>
            <c:numLit>
              <c:formatCode>General</c:formatCode>
              <c:ptCount val="20"/>
              <c:pt idx="0">
                <c:v>23456.01</c:v>
              </c:pt>
              <c:pt idx="1">
                <c:v>44685.16</c:v>
              </c:pt>
              <c:pt idx="2">
                <c:v>26057.96</c:v>
              </c:pt>
              <c:pt idx="3">
                <c:v>13044.809999999998</c:v>
              </c:pt>
              <c:pt idx="4">
                <c:v>28968.59</c:v>
              </c:pt>
              <c:pt idx="5">
                <c:v>21796.45</c:v>
              </c:pt>
              <c:pt idx="6">
                <c:v>30494.93</c:v>
              </c:pt>
              <c:pt idx="7">
                <c:v>48820.47</c:v>
              </c:pt>
              <c:pt idx="8">
                <c:v>9695.93</c:v>
              </c:pt>
              <c:pt idx="9">
                <c:v>49316.44</c:v>
              </c:pt>
              <c:pt idx="10">
                <c:v>6811.72</c:v>
              </c:pt>
              <c:pt idx="11">
                <c:v>31194.080000000002</c:v>
              </c:pt>
              <c:pt idx="12">
                <c:v>25340.55</c:v>
              </c:pt>
              <c:pt idx="13">
                <c:v>13617.7</c:v>
              </c:pt>
              <c:pt idx="14">
                <c:v>29200.579999999998</c:v>
              </c:pt>
              <c:pt idx="15">
                <c:v>17967.440000000002</c:v>
              </c:pt>
              <c:pt idx="16">
                <c:v>11448.36</c:v>
              </c:pt>
              <c:pt idx="17">
                <c:v>15434.859999999999</c:v>
              </c:pt>
              <c:pt idx="18">
                <c:v>34732.410000000003</c:v>
              </c:pt>
              <c:pt idx="19">
                <c:v>13335.92</c:v>
              </c:pt>
            </c:numLit>
          </c:val>
          <c:extLst>
            <c:ext xmlns:c16="http://schemas.microsoft.com/office/drawing/2014/chart" uri="{C3380CC4-5D6E-409C-BE32-E72D297353CC}">
              <c16:uniqueId val="{00000000-B149-48C2-BFA3-8F314B2E3F70}"/>
            </c:ext>
          </c:extLst>
        </c:ser>
        <c:dLbls>
          <c:showLegendKey val="0"/>
          <c:showVal val="0"/>
          <c:showCatName val="0"/>
          <c:showSerName val="0"/>
          <c:showPercent val="0"/>
          <c:showBubbleSize val="0"/>
        </c:dLbls>
        <c:gapWidth val="150"/>
        <c:shape val="box"/>
        <c:axId val="1403918480"/>
        <c:axId val="1409053664"/>
        <c:axId val="0"/>
      </c:bar3DChart>
      <c:catAx>
        <c:axId val="1403918480"/>
        <c:scaling>
          <c:orientation val="minMax"/>
        </c:scaling>
        <c:delete val="0"/>
        <c:axPos val="b"/>
        <c:numFmt formatCode="General" sourceLinked="1"/>
        <c:majorTickMark val="none"/>
        <c:minorTickMark val="none"/>
        <c:tickLblPos val="nextTo"/>
        <c:spPr>
          <a:solidFill>
            <a:schemeClr val="tx2">
              <a:lumMod val="10000"/>
              <a:lumOff val="90000"/>
            </a:schemeClr>
          </a:solidFill>
          <a:ln w="12700" cap="flat" cmpd="sng" algn="ctr">
            <a:solidFill>
              <a:schemeClr val="accent4"/>
            </a:solidFill>
            <a:prstDash val="solid"/>
            <a:miter lim="800000"/>
          </a:ln>
          <a:effectLst/>
        </c:spPr>
        <c:txPr>
          <a:bodyPr rot="-5400000" spcFirstLastPara="1" vertOverflow="ellipsis" wrap="square" anchor="ctr" anchorCtr="1"/>
          <a:lstStyle/>
          <a:p>
            <a:pPr>
              <a:defRPr sz="1800" b="1" i="0" u="none" strike="noStrike" kern="1200" baseline="0">
                <a:solidFill>
                  <a:schemeClr val="tx1"/>
                </a:solidFill>
                <a:latin typeface="+mn-lt"/>
                <a:ea typeface="+mn-ea"/>
                <a:cs typeface="+mn-cs"/>
              </a:defRPr>
            </a:pPr>
            <a:endParaRPr lang="en-US"/>
          </a:p>
        </c:txPr>
        <c:crossAx val="1409053664"/>
        <c:crosses val="autoZero"/>
        <c:auto val="1"/>
        <c:lblAlgn val="ctr"/>
        <c:lblOffset val="100"/>
        <c:noMultiLvlLbl val="0"/>
      </c:catAx>
      <c:valAx>
        <c:axId val="140905366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2">
                    <a:lumMod val="75000"/>
                    <a:lumOff val="25000"/>
                  </a:schemeClr>
                </a:solidFill>
                <a:latin typeface="+mn-lt"/>
                <a:ea typeface="+mn-ea"/>
                <a:cs typeface="+mn-cs"/>
              </a:defRPr>
            </a:pPr>
            <a:endParaRPr lang="en-US"/>
          </a:p>
        </c:txPr>
        <c:crossAx val="140391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0">
                <a:solidFill>
                  <a:schemeClr val="tx1"/>
                </a:solidFill>
              </a:rPr>
              <a:t>Sales</a:t>
            </a:r>
            <a:r>
              <a:rPr lang="en-US" b="1" i="0" baseline="0">
                <a:solidFill>
                  <a:schemeClr val="tx1"/>
                </a:solidFill>
              </a:rPr>
              <a:t> by product category</a:t>
            </a:r>
            <a:endParaRPr lang="en-US" b="1" i="0">
              <a:solidFill>
                <a:schemeClr val="tx1"/>
              </a:solidFill>
            </a:endParaRPr>
          </a:p>
        </c:rich>
      </c:tx>
      <c:layout>
        <c:manualLayout>
          <c:xMode val="edge"/>
          <c:yMode val="edge"/>
          <c:x val="0.29649300087489061"/>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50918635170607E-2"/>
          <c:y val="0.18097222222222226"/>
          <c:w val="0.92782152230971127"/>
          <c:h val="0.72125801983085447"/>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Clothing</c:v>
              </c:pt>
              <c:pt idx="1">
                <c:v>Electronics</c:v>
              </c:pt>
              <c:pt idx="2">
                <c:v>Food</c:v>
              </c:pt>
              <c:pt idx="3">
                <c:v>Furniture</c:v>
              </c:pt>
            </c:strLit>
          </c:cat>
          <c:val>
            <c:numLit>
              <c:formatCode>General</c:formatCode>
              <c:ptCount val="4"/>
              <c:pt idx="0">
                <c:v>1313474.3599999999</c:v>
              </c:pt>
              <c:pt idx="1">
                <c:v>1243499.6400000006</c:v>
              </c:pt>
              <c:pt idx="2">
                <c:v>1201773.5399999998</c:v>
              </c:pt>
              <c:pt idx="3">
                <c:v>1260517.6900000002</c:v>
              </c:pt>
            </c:numLit>
          </c:val>
          <c:extLst>
            <c:ext xmlns:c16="http://schemas.microsoft.com/office/drawing/2014/chart" uri="{C3380CC4-5D6E-409C-BE32-E72D297353CC}">
              <c16:uniqueId val="{00000000-33A0-4694-88FE-255D0FB0CC1C}"/>
            </c:ext>
          </c:extLst>
        </c:ser>
        <c:dLbls>
          <c:dLblPos val="outEnd"/>
          <c:showLegendKey val="0"/>
          <c:showVal val="1"/>
          <c:showCatName val="0"/>
          <c:showSerName val="0"/>
          <c:showPercent val="0"/>
          <c:showBubbleSize val="0"/>
        </c:dLbls>
        <c:gapWidth val="219"/>
        <c:overlap val="-27"/>
        <c:axId val="1108103087"/>
        <c:axId val="1011069535"/>
      </c:barChart>
      <c:catAx>
        <c:axId val="110810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1069535"/>
        <c:crosses val="autoZero"/>
        <c:auto val="1"/>
        <c:lblAlgn val="ctr"/>
        <c:lblOffset val="100"/>
        <c:noMultiLvlLbl val="0"/>
      </c:catAx>
      <c:valAx>
        <c:axId val="1011069535"/>
        <c:scaling>
          <c:orientation val="minMax"/>
        </c:scaling>
        <c:delete val="1"/>
        <c:axPos val="l"/>
        <c:numFmt formatCode="General" sourceLinked="1"/>
        <c:majorTickMark val="none"/>
        <c:minorTickMark val="none"/>
        <c:tickLblPos val="nextTo"/>
        <c:crossAx val="110810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[sales_data.xlsx]Sheet1!PivotTable10</c:name>
    <c:fmtId val="6"/>
  </c:pivotSource>
  <c:chart>
    <c:title>
      <c:tx>
        <c:rich>
          <a:bodyPr rot="0" spcFirstLastPara="1" vertOverflow="ellipsis" vert="horz" wrap="square" anchor="ctr" anchorCtr="1"/>
          <a:lstStyle/>
          <a:p>
            <a:pPr>
              <a:defRPr sz="1100" b="1" i="0" u="none" strike="noStrike" kern="1200" cap="all" spc="50" baseline="0">
                <a:solidFill>
                  <a:schemeClr val="tx1"/>
                </a:solidFill>
                <a:latin typeface="+mn-lt"/>
                <a:ea typeface="+mn-ea"/>
                <a:cs typeface="+mn-cs"/>
              </a:defRPr>
            </a:pPr>
            <a:r>
              <a:rPr lang="en-US" sz="1100" b="1">
                <a:solidFill>
                  <a:schemeClr val="tx1"/>
                </a:solidFill>
              </a:rPr>
              <a:t>payment</a:t>
            </a:r>
            <a:r>
              <a:rPr lang="en-US" sz="1100" b="1" baseline="0">
                <a:solidFill>
                  <a:schemeClr val="tx1"/>
                </a:solidFill>
              </a:rPr>
              <a:t> method</a:t>
            </a:r>
            <a:endParaRPr lang="en-US" sz="1100" b="1">
              <a:solidFill>
                <a:schemeClr val="tx1"/>
              </a:solidFill>
            </a:endParaRPr>
          </a:p>
        </c:rich>
      </c:tx>
      <c:layout>
        <c:manualLayout>
          <c:xMode val="edge"/>
          <c:yMode val="edge"/>
          <c:x val="0.29580544146679072"/>
          <c:y val="4.3466901300963375E-2"/>
        </c:manualLayout>
      </c:layout>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322494270348769"/>
          <c:y val="0.20740578159437387"/>
          <c:w val="0.56728123321760571"/>
          <c:h val="0.68587661298435254"/>
        </c:manualLayout>
      </c:layout>
      <c:doughnutChart>
        <c:varyColors val="1"/>
        <c:ser>
          <c:idx val="0"/>
          <c:order val="0"/>
          <c:tx>
            <c:strRef>
              <c:f>Sheet1!$B$3</c:f>
              <c:strCache>
                <c:ptCount val="1"/>
                <c:pt idx="0">
                  <c:v>Total</c:v>
                </c:pt>
              </c:strCache>
            </c:strRef>
          </c:tx>
          <c:dPt>
            <c:idx val="0"/>
            <c:bubble3D val="0"/>
            <c:spPr>
              <a:solidFill>
                <a:schemeClr val="accent4">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C0-41A6-A54A-568109AE805A}"/>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C0-41A6-A54A-568109AE805A}"/>
              </c:ext>
            </c:extLst>
          </c:dPt>
          <c:dPt>
            <c:idx val="2"/>
            <c:bubble3D val="0"/>
            <c:spPr>
              <a:solidFill>
                <a:schemeClr val="accent4">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7C0-41A6-A54A-568109AE805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Bank Transfer</c:v>
                </c:pt>
                <c:pt idx="1">
                  <c:v>Cash</c:v>
                </c:pt>
                <c:pt idx="2">
                  <c:v>Credit Card</c:v>
                </c:pt>
              </c:strCache>
            </c:strRef>
          </c:cat>
          <c:val>
            <c:numRef>
              <c:f>Sheet1!$B$4:$B$7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6-27C0-41A6-A54A-568109AE805A}"/>
            </c:ext>
          </c:extLst>
        </c:ser>
        <c:dLbls>
          <c:showLegendKey val="0"/>
          <c:showVal val="0"/>
          <c:showCatName val="0"/>
          <c:showSerName val="0"/>
          <c:showPercent val="1"/>
          <c:showBubbleSize val="0"/>
          <c:showLeaderLines val="1"/>
        </c:dLbls>
        <c:firstSliceAng val="0"/>
        <c:holeSize val="50"/>
      </c:doughnutChart>
      <c:spPr>
        <a:noFill/>
        <a:ln>
          <a:noFill/>
        </a:ln>
        <a:effectLst>
          <a:glow rad="139700">
            <a:schemeClr val="accent4">
              <a:satMod val="175000"/>
              <a:alpha val="40000"/>
            </a:schemeClr>
          </a:glow>
        </a:effectLst>
      </c:spPr>
    </c:plotArea>
    <c:legend>
      <c:legendPos val="r"/>
      <c:layout>
        <c:manualLayout>
          <c:xMode val="edge"/>
          <c:yMode val="edge"/>
          <c:x val="0.70216024870090088"/>
          <c:y val="0.59026722269472409"/>
          <c:w val="0.29783975129909912"/>
          <c:h val="0.3658650900344774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 Top</a:t>
            </a:r>
            <a:r>
              <a:rPr lang="en-US" sz="1400" b="1" baseline="0">
                <a:solidFill>
                  <a:schemeClr val="tx1"/>
                </a:solidFill>
              </a:rPr>
              <a:t> three Customers</a:t>
            </a:r>
            <a:endParaRPr lang="en-US" sz="1400" b="1">
              <a:solidFill>
                <a:schemeClr val="tx1"/>
              </a:solidFill>
            </a:endParaRPr>
          </a:p>
        </c:rich>
      </c:tx>
      <c:layout>
        <c:manualLayout>
          <c:xMode val="edge"/>
          <c:yMode val="edge"/>
          <c:x val="0.34998817049277292"/>
          <c:y val="3.115725546986823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4412963498353201"/>
          <c:y val="0.1947341513292434"/>
          <c:w val="0.8306723808552009"/>
          <c:h val="0.75414110429447856"/>
        </c:manualLayout>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Sheet3!$K$21:$K$23</c:f>
              <c:strCache>
                <c:ptCount val="3"/>
                <c:pt idx="0">
                  <c:v>Alice</c:v>
                </c:pt>
                <c:pt idx="1">
                  <c:v>David</c:v>
                </c:pt>
                <c:pt idx="2">
                  <c:v>Eve</c:v>
                </c:pt>
              </c:strCache>
            </c:strRef>
          </c:cat>
          <c:val>
            <c:numRef>
              <c:f>Sheet3!$L$21:$L$23</c:f>
              <c:numCache>
                <c:formatCode>_("$"* #,##0.00_);_("$"* \(#,##0.00\);_("$"* "-"??_);_(@_)</c:formatCode>
                <c:ptCount val="3"/>
                <c:pt idx="0">
                  <c:v>50488.309999999896</c:v>
                </c:pt>
                <c:pt idx="1">
                  <c:v>54995.439999999777</c:v>
                </c:pt>
                <c:pt idx="2">
                  <c:v>55081.799999999828</c:v>
                </c:pt>
              </c:numCache>
            </c:numRef>
          </c:val>
          <c:extLst>
            <c:ext xmlns:c16="http://schemas.microsoft.com/office/drawing/2014/chart" uri="{C3380CC4-5D6E-409C-BE32-E72D297353CC}">
              <c16:uniqueId val="{00000000-ACCB-4986-9B38-6A4B19AA7192}"/>
            </c:ext>
          </c:extLst>
        </c:ser>
        <c:dLbls>
          <c:dLblPos val="ctr"/>
          <c:showLegendKey val="0"/>
          <c:showVal val="1"/>
          <c:showCatName val="0"/>
          <c:showSerName val="0"/>
          <c:showPercent val="0"/>
          <c:showBubbleSize val="0"/>
        </c:dLbls>
        <c:gapWidth val="150"/>
        <c:overlap val="100"/>
        <c:axId val="1467629247"/>
        <c:axId val="1467616767"/>
      </c:barChart>
      <c:catAx>
        <c:axId val="1467629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67616767"/>
        <c:crosses val="autoZero"/>
        <c:auto val="1"/>
        <c:lblAlgn val="ctr"/>
        <c:lblOffset val="100"/>
        <c:noMultiLvlLbl val="0"/>
      </c:catAx>
      <c:valAx>
        <c:axId val="1467616767"/>
        <c:scaling>
          <c:orientation val="minMax"/>
        </c:scaling>
        <c:delete val="1"/>
        <c:axPos val="b"/>
        <c:numFmt formatCode="_(&quot;$&quot;* #,##0.00_);_(&quot;$&quot;* \(#,##0.00\);_(&quot;$&quot;* &quot;-&quot;??_);_(@_)" sourceLinked="1"/>
        <c:majorTickMark val="out"/>
        <c:minorTickMark val="none"/>
        <c:tickLblPos val="nextTo"/>
        <c:crossAx val="146762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[sales_data.xlsx]Sheet1!PivotTable11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Payment</a:t>
            </a:r>
            <a:r>
              <a:rPr lang="en-US" b="1" baseline="0">
                <a:solidFill>
                  <a:schemeClr val="tx1"/>
                </a:solidFill>
              </a:rPr>
              <a: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68450972253476E-2"/>
          <c:y val="0.12556234667664679"/>
          <c:w val="0.8850630980554931"/>
          <c:h val="0.77740281335274974"/>
        </c:manualLayout>
      </c:layout>
      <c:barChart>
        <c:barDir val="col"/>
        <c:grouping val="clustered"/>
        <c:varyColors val="0"/>
        <c:ser>
          <c:idx val="1"/>
          <c:order val="0"/>
          <c:tx>
            <c:strRef>
              <c:f>Sheet1!$E$3</c:f>
              <c:strCache>
                <c:ptCount val="1"/>
                <c:pt idx="0">
                  <c:v>Total</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tx1"/>
                      </a:solidFill>
                      <a:prstDash val="solid"/>
                      <a:round/>
                    </a:ln>
                    <a:effectLst/>
                  </c:spPr>
                </c15:leaderLines>
              </c:ext>
            </c:extLst>
          </c:dLbls>
          <c:cat>
            <c:strRef>
              <c:f>Sheet1!$D$4:$D$6</c:f>
              <c:strCache>
                <c:ptCount val="2"/>
                <c:pt idx="0">
                  <c:v>Online</c:v>
                </c:pt>
                <c:pt idx="1">
                  <c:v>Retail</c:v>
                </c:pt>
              </c:strCache>
            </c:strRef>
          </c:cat>
          <c:val>
            <c:numRef>
              <c:f>Sheet1!$E$4:$E$6</c:f>
              <c:numCache>
                <c:formatCode>General</c:formatCode>
                <c:ptCount val="2"/>
                <c:pt idx="0">
                  <c:v>2458833.9300000034</c:v>
                </c:pt>
                <c:pt idx="1">
                  <c:v>2560431.2999999984</c:v>
                </c:pt>
              </c:numCache>
            </c:numRef>
          </c:val>
          <c:extLst>
            <c:ext xmlns:c16="http://schemas.microsoft.com/office/drawing/2014/chart" uri="{C3380CC4-5D6E-409C-BE32-E72D297353CC}">
              <c16:uniqueId val="{00000007-105E-4CC2-BF19-D229B0FF4EEE}"/>
            </c:ext>
          </c:extLst>
        </c:ser>
        <c:dLbls>
          <c:dLblPos val="outEnd"/>
          <c:showLegendKey val="0"/>
          <c:showVal val="0"/>
          <c:showCatName val="0"/>
          <c:showSerName val="0"/>
          <c:showPercent val="0"/>
          <c:showBubbleSize val="0"/>
        </c:dLbls>
        <c:gapWidth val="219"/>
        <c:overlap val="-27"/>
        <c:axId val="1679712720"/>
        <c:axId val="1679715120"/>
      </c:barChart>
      <c:catAx>
        <c:axId val="16797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679715120"/>
        <c:crosses val="autoZero"/>
        <c:auto val="1"/>
        <c:lblAlgn val="ctr"/>
        <c:lblOffset val="100"/>
        <c:noMultiLvlLbl val="0"/>
      </c:catAx>
      <c:valAx>
        <c:axId val="1679715120"/>
        <c:scaling>
          <c:orientation val="minMax"/>
        </c:scaling>
        <c:delete val="1"/>
        <c:axPos val="l"/>
        <c:numFmt formatCode="General" sourceLinked="1"/>
        <c:majorTickMark val="none"/>
        <c:minorTickMark val="none"/>
        <c:tickLblPos val="nextTo"/>
        <c:crossAx val="1679712720"/>
        <c:crosses val="autoZero"/>
        <c:crossBetween val="between"/>
      </c:valAx>
      <c:spPr>
        <a:noFill/>
        <a:ln>
          <a:noFill/>
        </a:ln>
        <a:effectLst/>
      </c:spPr>
    </c:plotArea>
    <c:plotVisOnly val="1"/>
    <c:dispBlanksAs val="gap"/>
    <c:showDLblsOverMax val="0"/>
    <c:extLst/>
  </c:chart>
  <c:spPr>
    <a:no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[sales_data.xlsx]Sheet3!PivotTable5</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Sheet3!$D$3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Sheet3!$D$4:$D$16</c:f>
              <c:numCache>
                <c:formatCode>_("$"* #,##0.00_);_("$"* \(#,##0.00\);_("$"* "-"??_);_(@_)</c:formatCode>
                <c:ptCount val="12"/>
                <c:pt idx="0">
                  <c:v>26367.349999999915</c:v>
                </c:pt>
                <c:pt idx="1">
                  <c:v>17827.969999999972</c:v>
                </c:pt>
                <c:pt idx="2">
                  <c:v>20697.999999999902</c:v>
                </c:pt>
                <c:pt idx="3">
                  <c:v>20239.849999999944</c:v>
                </c:pt>
                <c:pt idx="4">
                  <c:v>17983.619999999923</c:v>
                </c:pt>
                <c:pt idx="5">
                  <c:v>23698.149999999874</c:v>
                </c:pt>
                <c:pt idx="6">
                  <c:v>17360.089999999924</c:v>
                </c:pt>
                <c:pt idx="7">
                  <c:v>22153.829999999944</c:v>
                </c:pt>
                <c:pt idx="8">
                  <c:v>18220.949999999906</c:v>
                </c:pt>
                <c:pt idx="9">
                  <c:v>22476.199999999935</c:v>
                </c:pt>
                <c:pt idx="10">
                  <c:v>23690.8499999999</c:v>
                </c:pt>
                <c:pt idx="11">
                  <c:v>22418.709999999897</c:v>
                </c:pt>
              </c:numCache>
            </c:numRef>
          </c:val>
          <c:smooth val="0"/>
          <c:extLst>
            <c:ext xmlns:c16="http://schemas.microsoft.com/office/drawing/2014/chart" uri="{C3380CC4-5D6E-409C-BE32-E72D297353CC}">
              <c16:uniqueId val="{00000000-F871-4BEF-9DDC-C0F9F97DB2F0}"/>
            </c:ext>
          </c:extLst>
        </c:ser>
        <c:dLbls>
          <c:showLegendKey val="0"/>
          <c:showVal val="0"/>
          <c:showCatName val="0"/>
          <c:showSerName val="0"/>
          <c:showPercent val="0"/>
          <c:showBubbleSize val="0"/>
        </c:dLbls>
        <c:marker val="1"/>
        <c:smooth val="0"/>
        <c:axId val="1761281184"/>
        <c:axId val="1761283104"/>
      </c:lineChart>
      <c:catAx>
        <c:axId val="17612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61283104"/>
        <c:crosses val="autoZero"/>
        <c:auto val="1"/>
        <c:lblAlgn val="ctr"/>
        <c:lblOffset val="100"/>
        <c:noMultiLvlLbl val="0"/>
      </c:catAx>
      <c:valAx>
        <c:axId val="1761283104"/>
        <c:scaling>
          <c:orientation val="minMax"/>
        </c:scaling>
        <c:delete val="1"/>
        <c:axPos val="l"/>
        <c:majorGridlines>
          <c:spPr>
            <a:ln w="12700" cap="flat" cmpd="sng" algn="ctr">
              <a:solidFill>
                <a:schemeClr val="accent4"/>
              </a:solidFill>
              <a:prstDash val="solid"/>
              <a:miter lim="800000"/>
            </a:ln>
            <a:effectLst/>
          </c:spPr>
        </c:majorGridlines>
        <c:numFmt formatCode="_(&quot;$&quot;* #,##0.00_);_(&quot;$&quot;* \(#,##0.00\);_(&quot;$&quot;* &quot;-&quot;??_);_(@_)" sourceLinked="1"/>
        <c:majorTickMark val="none"/>
        <c:minorTickMark val="none"/>
        <c:tickLblPos val="nextTo"/>
        <c:crossAx val="17612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[sales_data.xlsx]Sheet3!PivotTable5</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Sheet3!$D$3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Sheet3!$C$4:$C$16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Sheet3!$D$4:$D$16</c:f>
              <c:numCache>
                <c:formatCode>_("$"* #,##0.00_);_("$"* \(#,##0.00\);_("$"* "-"??_);_(@_)</c:formatCode>
                <c:ptCount val="12"/>
                <c:pt idx="0">
                  <c:v>26367.349999999915</c:v>
                </c:pt>
                <c:pt idx="1">
                  <c:v>17827.969999999972</c:v>
                </c:pt>
                <c:pt idx="2">
                  <c:v>20697.999999999902</c:v>
                </c:pt>
                <c:pt idx="3">
                  <c:v>20239.849999999944</c:v>
                </c:pt>
                <c:pt idx="4">
                  <c:v>17983.619999999923</c:v>
                </c:pt>
                <c:pt idx="5">
                  <c:v>23698.149999999874</c:v>
                </c:pt>
                <c:pt idx="6">
                  <c:v>17360.089999999924</c:v>
                </c:pt>
                <c:pt idx="7">
                  <c:v>22153.829999999944</c:v>
                </c:pt>
                <c:pt idx="8">
                  <c:v>18220.949999999906</c:v>
                </c:pt>
                <c:pt idx="9">
                  <c:v>22476.199999999935</c:v>
                </c:pt>
                <c:pt idx="10">
                  <c:v>23690.8499999999</c:v>
                </c:pt>
                <c:pt idx="11">
                  <c:v>22418.709999999897</c:v>
                </c:pt>
              </c:numCache>
            </c:numRef>
          </c:val>
          <c:smooth val="0"/>
          <c:extLst>
            <c:ext xmlns:c16="http://schemas.microsoft.com/office/drawing/2014/chart" uri="{C3380CC4-5D6E-409C-BE32-E72D297353CC}">
              <c16:uniqueId val="{00000000-59B2-463B-94F9-EE18E704D46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61281184"/>
        <c:axId val="1761283104"/>
      </c:lineChart>
      <c:catAx>
        <c:axId val="1761281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61283104"/>
        <c:crosses val="autoZero"/>
        <c:auto val="1"/>
        <c:lblAlgn val="ctr"/>
        <c:lblOffset val="100"/>
        <c:noMultiLvlLbl val="0"/>
      </c:catAx>
      <c:valAx>
        <c:axId val="1761283104"/>
        <c:scaling>
          <c:orientation val="minMax"/>
        </c:scaling>
        <c:delete val="1"/>
        <c:axPos val="l"/>
        <c:numFmt formatCode="_(&quot;$&quot;* #,##0.00_);_(&quot;$&quot;* \(#,##0.00\);_(&quot;$&quot;* &quot;-&quot;??_);_(@_)" sourceLinked="1"/>
        <c:majorTickMark val="none"/>
        <c:minorTickMark val="none"/>
        <c:tickLblPos val="nextTo"/>
        <c:crossAx val="176128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Sheet1!$E$10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E7-43E7-9C31-43A58A86A895}"/>
              </c:ext>
            </c:extLst>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Sheet1!$D$11:$D$15</c:f>
              <c:strCache>
                <c:ptCount val="4"/>
                <c:pt idx="0">
                  <c:v>Clothing</c:v>
                </c:pt>
                <c:pt idx="1">
                  <c:v>Electronics</c:v>
                </c:pt>
                <c:pt idx="2">
                  <c:v>Food</c:v>
                </c:pt>
                <c:pt idx="3">
                  <c:v>Furniture</c:v>
                </c:pt>
              </c:strCache>
            </c:strRef>
          </c:cat>
          <c:val>
            <c:numRef>
              <c:f>Sheet1!$E$11:$E$15</c:f>
              <c:numCache>
                <c:formatCode>_("$"* #,##0.00_);_("$"* \(#,##0.00\);_("$"* "-"??_);_(@_)</c:formatCode>
                <c:ptCount val="4"/>
                <c:pt idx="0">
                  <c:v>42.940000000000019</c:v>
                </c:pt>
                <c:pt idx="1">
                  <c:v>33.58</c:v>
                </c:pt>
                <c:pt idx="2">
                  <c:v>34.76</c:v>
                </c:pt>
                <c:pt idx="3">
                  <c:v>41.110000000000021</c:v>
                </c:pt>
              </c:numCache>
            </c:numRef>
          </c:val>
          <c:extLst>
            <c:ext xmlns:c16="http://schemas.microsoft.com/office/drawing/2014/chart" uri="{C3380CC4-5D6E-409C-BE32-E72D297353CC}">
              <c16:uniqueId val="{00000000-EC9B-4B4D-BB32-2B4D2ABA69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[sales_data.xlsx]Sheet1!PivotTable11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Payment</a:t>
            </a:r>
            <a:r>
              <a:rPr lang="en-US" b="1" baseline="0">
                <a:solidFill>
                  <a:schemeClr val="tx1"/>
                </a:solidFill>
              </a:rPr>
              <a: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Sheet1!$D$4:$D$6</c:f>
              <c:strCache>
                <c:ptCount val="2"/>
                <c:pt idx="0">
                  <c:v>Online</c:v>
                </c:pt>
                <c:pt idx="1">
                  <c:v>Retail</c:v>
                </c:pt>
              </c:strCache>
            </c:strRef>
          </c:cat>
          <c:val>
            <c:numRef>
              <c:f>Sheet1!$E$4:$E$6</c:f>
              <c:numCache>
                <c:formatCode>General</c:formatCode>
                <c:ptCount val="2"/>
                <c:pt idx="0">
                  <c:v>2458833.9300000034</c:v>
                </c:pt>
                <c:pt idx="1">
                  <c:v>2560431.2999999984</c:v>
                </c:pt>
              </c:numCache>
            </c:numRef>
          </c:val>
          <c:extLst>
            <c:ext xmlns:c16="http://schemas.microsoft.com/office/drawing/2014/chart" uri="{C3380CC4-5D6E-409C-BE32-E72D297353CC}">
              <c16:uniqueId val="{00000000-45BC-4A51-8BAF-2B1FB4EFCD0C}"/>
            </c:ext>
          </c:extLst>
        </c:ser>
        <c:dLbls>
          <c:dLblPos val="outEnd"/>
          <c:showLegendKey val="0"/>
          <c:showVal val="1"/>
          <c:showCatName val="0"/>
          <c:showSerName val="0"/>
          <c:showPercent val="0"/>
          <c:showBubbleSize val="0"/>
        </c:dLbls>
        <c:gapWidth val="219"/>
        <c:overlap val="-27"/>
        <c:axId val="1679712720"/>
        <c:axId val="1679715120"/>
      </c:barChart>
      <c:catAx>
        <c:axId val="16797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15120"/>
        <c:crosses val="autoZero"/>
        <c:auto val="1"/>
        <c:lblAlgn val="ctr"/>
        <c:lblOffset val="100"/>
        <c:noMultiLvlLbl val="0"/>
      </c:catAx>
      <c:valAx>
        <c:axId val="1679715120"/>
        <c:scaling>
          <c:orientation val="minMax"/>
        </c:scaling>
        <c:delete val="1"/>
        <c:axPos val="l"/>
        <c:numFmt formatCode="General" sourceLinked="1"/>
        <c:majorTickMark val="none"/>
        <c:minorTickMark val="none"/>
        <c:tickLblPos val="nextTo"/>
        <c:crossAx val="167971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Profit by Month</cx:v>
        </cx:txData>
      </cx:tx>
      <cx:txPr>
        <a:bodyPr spcFirstLastPara="1" vertOverflow="ellipsis" horzOverflow="overflow" wrap="square" lIns="0" tIns="0" rIns="0" bIns="0" anchor="ctr" anchorCtr="1"/>
        <a:lstStyle/>
        <a:p>
          <a:pPr algn="ctr" rtl="0">
            <a:defRPr b="1" i="0">
              <a:solidFill>
                <a:schemeClr val="tx1"/>
              </a:solidFill>
            </a:defRPr>
          </a:pPr>
          <a:r>
            <a:rPr lang="en-US" sz="1400" b="1" i="0" u="none" strike="noStrike" baseline="0">
              <a:solidFill>
                <a:schemeClr val="tx1"/>
              </a:solidFill>
              <a:latin typeface="Aptos Narrow" panose="02110004020202020204"/>
            </a:rPr>
            <a:t>Profit by Month</a:t>
          </a:r>
        </a:p>
      </cx:txPr>
    </cx:title>
    <cx:plotArea>
      <cx:plotAreaRegion>
        <cx:series layoutId="funnel" uniqueId="{51D61D92-1AAB-4F43-BFD0-5BD313468724}">
          <cx:dataLabels>
            <cx:spPr>
              <a:noFill/>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Aptos Narrow" panose="02110004020202020204"/>
            </a:rPr>
            <a:t>Statewise Sales</a:t>
          </a:r>
        </a:p>
      </cx:txPr>
    </cx:title>
    <cx:plotArea>
      <cx:plotAreaRegion>
        <cx:series layoutId="regionMap" uniqueId="{63B7FEBC-9738-4560-A6C3-025D2388B66C}">
          <cx:dataLabels>
            <cx:txPr>
              <a:bodyPr spcFirstLastPara="1" vertOverflow="ellipsis" horzOverflow="overflow" wrap="square" lIns="0" tIns="0" rIns="0" bIns="0" anchor="ctr" anchorCtr="1"/>
              <a:lstStyle/>
              <a:p>
                <a:pPr algn="ctr" rtl="0">
                  <a:defRPr b="1">
                    <a:solidFill>
                      <a:schemeClr val="bg1"/>
                    </a:solidFill>
                  </a:defRPr>
                </a:pPr>
                <a:endParaRPr lang="en-US" sz="850" b="1" i="0" u="none" strike="noStrike" baseline="0">
                  <a:solidFill>
                    <a:schemeClr val="bg1"/>
                  </a:solidFill>
                  <a:latin typeface="Aptos Narrow" panose="02110004020202020204"/>
                </a:endParaRPr>
              </a:p>
            </cx:txPr>
            <cx:visibility seriesName="0" categoryName="0" value="1"/>
          </cx:dataLabels>
          <cx:dataId val="0"/>
          <cx:layoutPr>
            <cx:geography cultureLanguage="en-US" cultureRegion="US" attribution="Powered by Bing">
              <cx:geoCache provider="{E9337A44-BEBE-4D9F-B70C-5C5E7DAFC167}">
                <cx:binary>7HtpjxU50u5fQXy+SXtPezQ90us8a61QFAX0l1Q1FGnnnrbTufz6GwdoGgqGnnk1utJIF/V2TqaP
7YhwxPM84f77u/lv7+qHe/dkburW/+3d/OtTE0L/t19+8e/MQ3PvnzX2net89yE8e9c1v3QfPth3
D7+8d/eTbYtfCMLsl3fm3oWH+ek//g6/Vjx0F927+2C79sX44JabBz/Wwf/k2Q8fPbl/39h2Y31w
9l3Avz69NrZ7+uShDTYst0v/8OvTb954+uSXx7/z3ZxPalhWGN/DWIaeMcw5VilSH//Ip0/qri0+
P04keQZPaEpZij7+oX/MfXXfwPi/Ws3Htdy/f+8evIetfPz3H6O+WTd8eXj65F03tuFkqwLM9uvT
V60ND++fvAz34cE/fWJ9l316IetOi3/18uNuf/nW2v/4+6MvYP+PvvnKIY+N9VePvvPHsa5t21lY
3n/QJ5gwLKlgn3yiHvlEPcNMCsol//L809yffPKvrOjHfvlz5CPfHC/+K31z+zDf/wcdQ/EzJqhk
EuNPhwF/6xilnlFKiUpT8uUwfe2Yv1zOj73yedgjl9y++a90SXZf2w+da+39f+7A0PQZ4UwIhdUP
/YKxeiZwSlLM8CfH/DH3pwPzr63px875euwjD2X/81/poTvrCvuf9g/HRCoq0i/n4usik8pnQknE
Ffr8nH7rn39lRT/2zp8jH/nm7r/TN7u6c/b9f/DoEPmMK6j/jH46OQh/m9Kg/jMJ1Z/Izy88cs2/
sKAfe+bLwEeO2f13Vpr/qR989Zd++Q/CkJ8jpa+hyDdv/pvwkKpnHFGeMvon/Pv65ELFQyegQtVn
qMK+PbmPANw/X9aPg+TR8G928v8IHf5zl32B1Zv7cL/9iMe/Ao8/f/pxu8AQHg39GYT8ZLvj+1+f
Uo4I+cqRpx/5PPJTPbt7cE3Xhj9c8dWYh3sffn2apABkUkqVoAgToTiFUz89fHpEn7ET2E8FwwJh
LmCmtnPBAFfg4GxOiDwVUgkhwZ8+8d348RHQBALlVzLOJUacpV9I0POuXoqu/WKPz5+ftGPzvLNt
8PDDT5/0n946LZWTU0JSgKIohUkYQ6fn7+5vgGfBy/j/SBzH1XaSH6T0QTfGSF0WA9Vf2eQHswCz
+XoWQNCYwh6ZklQhsMTp+Vez5GMcCO2K/DCWbYt1REpqOefdb22I8/NGpPRYr0PlNt0a+rc/n/vk
r+8m5wJJpMBsKRj728mNqOuZVlIdCqa6apc6P23ijGFejqqbEpPuvlBNr7RvLd34dbEPcxLadiuc
oJva4VUvY2n3Ico6o0MynI1VZ669LNskK+ucZ2Fx/dYXxXo5+jS/aUQ9bf4Xm0gZbAAqNxR48ciC
yLGeNmFVh2GdyXZm3bprkoYdbTotrwaKYpbjKqXbpFlihtHcv53UKDe8KxZYn1Xzc9GS+XnnpdQo
rnavlFl3UVb1cVax2sk44dvGjmG3tGsoddK0dv/zPUDIfucHmQJylFKyVBD0rR88o+O4pJM6WNpP
G4fWWs/RLfu0Kz/8fCbxo5kkJFMmT8RNPjIWj9g3PYaZIi3QYQkDOE/I4cwFOrxAvGiyn8/36BB9
DG8AVJIRCHGi6CkCvwpvgn3bNkkN8xXWvYCM4vU6FgrK7xcB4QeH6Af2YyB9QImQVBLKHtlPOUgX
9ZTIgyOT3UuwWk+VPVRe3v58IvKD48oJ8K4UDh79PimUBSZqghg8kBXXxzX1ZGsUxMyygOOWhrpa
YyO87rpQ3SyRy4u+FtWGlTi/MWO7njecDy/cIhKrReRe99iiqCOm66Go+/ysq9tlbyE2X8UibZeM
rogluiin1WlWwCRzz8gWS2IPngj/ehKrPfx8k1Se7PVV6mNSIoQxmJOkUijF02+9lpO8Hs3q5sNU
UqybopuOaZH7YzK4atdVnmhBuw9z7ZINr2qnIXjLQ92U4y7iPuyq3rmrvrKT1aGlm0G06DUmlb3i
amG/pVPTvOaD2Do8kZdYNUOt3VTjzIm8viWoUjuzghgVoplfmaIlGxCKln1V7HAZi98gnVUHETi/
LkbCD9F23TlUF3No+pxsaSHsIWnVknXcNlsDCsfe007eupyXxzIpm02LBxP0UOTvDBSerPFVcWT9
Gq/7Gk+DjmvKLho51PuYC77tI2GZYP2YiVF0dRZw0R0q11V3wbdZPbS1bpslueaqX94vy+K1rE3Y
FlWge56z0utSGJKtVS82SbqyF9xQdNuPvnmdFqb60GPTzbpCalky5Uyb66lDVHetmd+ksq02aUPc
ASSY+lgu5XyxDkpci7qSmyBtqzRt7HQ9hnb4vS1rfo8Gv01mVWYmrx6SKpGXSVsnG1bYYpuk7qxp
BKxa4GFbEXWcY9JedXmfazK3U9CFc4lO0naP+vLiZM9NV5d9RpVMtO8mr3FD33IjJs1mg45F1TQX
LO+XV0ldBQJP0XqFxySv9RIN2SKoL1nZTHRPOiWP48rovcuFf16CndpjQKPKhtTT24rtWtNDRMS6
0uNA6X03uG5XGZJsaD/LRnekda/axY9ZV80TuGYutZ+74jAt484Y+oLkzbiF3BaPoe4WvSRzkNoZ
8p468LkTuH+xuPrS5txkyRSrTSzqcTPmldOmCWPmEDrrSVloVDCmSzUXL9uyuMwL8ZuZF3QAmRbd
5HhdtqUTr5dQ3ZOmbTeT82WWlELdBZ7LHXUOX6TzOJ21vFK6i+ucNYgWeiyHRIeIcp2qxECKGqcM
N22ZsbKbzxNZqH3l5zZbEpm/TXqzwGLmfGdIxTJT0a7TDg0RgitO6QbKULWzhRTtppys3YyFIHvn
fXLO1667CEmHMjfz5b6cPHoxWp9K3S5cEo1I2V+vHQIPYY+H82XB7GjauT5gatEh7eC4iGTpUKXV
QNZq3JKJGG1SM+g1mDybUdm+c5EVb8ocj+9F6pc3NLrprJEyHquogo5Fzy4cSvr9EKo84zmKxxHD
+UqWqtdjvSwF1ahMPT62VqXrsMGDaLYNKho9J+v8ikXU7igi5oiqot+yumNZuYy5VnS0eyyG9sLO
ndctaoLmHXws27HqN1bMw5nqUbUR3bjsEyG9HjyqdnkZlw8xuKm7QktRb/IeQMEaF6RdR6pNTxq5
sQVUDrzmUhM09lsUJ7KFHbuzVASyndxSbYhBy/kakH+9qoldEzioV4tFw7ip8iCMRn0XH3Dppo2q
0XpYytK9M+lc7ERn0ztjQ3vR8hTfJgjwRd315rqqJkAnESBf101Ii0KVsLp6HgY9YgRgBonqpi7Y
8KYsabWp0DptbAK4MOH9sq8rTI8TG6pdX6jxrgu+Pg6W+/drYtChLhnkHgebHHqAX6Lu8rNVMVjX
Qvsratb8LPUOKtdEU5yBzlttyq7tt8pF2HllzbVCzbThIyXbIaxkyzgrrte0z72u2ApjiKr960II
no2OwkqqUaF9jAG2lAhc6EDTtchCVfItVYZfY0gM2dp6u+8DWQ+oFHWm0jE/A6zCsz4XSgOOdGdR
QLxiapYPgIHjnY0O8npHhrNyqWOtAduQPUbNsM/bhJ8H1yU3C0xgNkkNlXfN0wGWvRj+25RzV+hc
mHCD0h7+qyrGG4fIsHGpwW+Q5Oe+wuU+jUO39yVZJw14kZ7zGe3DAEkBu5FeRTqwXW+G+dhURGSx
Ls2uo7nZdu14i/OEZFMIVvNq4tvUoucub1XUlSni3vVxMXswf1q9c0wO5sL5ZogQzTzoMLfjokPj
0MZR4vILlTe8h8y6+EK3kjBzNU9kbtbjx/L+mSJ+RkufiM67rl+cLcznhs+Xj/+47Rr462ND4s8v
T/2iPz9d/tFo+ulb+4fuxPb845dOq/nyW7CYz6s7kcRvPnzHWP8JJ/3Ut/onD/81wkooFsAwv+DK
7wjr1cP05G3nqq8Z6+dBfzJWedIQAc/iVAl54p5/MFb1LBWIMEFSAeHKBLRLvmGskiMkUkylSAEE
/8FYofGlFOUKA/Pj0OHi/w5j/Q4GcwGkmVOg5gDthXgEg3EUQ0So6I5RJpXNqrbg19RN/dVaT/Iv
aNd3RALmkgojsIViGIjLtxAxepSsg8TtMaUTvoJkiq/Kkaq7BSxwMQyr2n7lih9A/O+ANxdAwQkB
TQC43ifI+hWRcAklaS8RzNfgqtAT6ptcl/OKr8LM6LENuaBbOkt8OwlL/gL2n/DuN3iYC37SIoAv
Qe4B2eHbzQ4JAqzhXXtcXQjvm7rxQtc4yosFr/PNnK/qLifor7b8AxNzsBaFbs8p1k5h8zV3Cj5A
LZFpc3QNUPIKYOX72DZ21cq6+XmBln97QoEhSGE6iF6giPy0oK9sXKJk7ol36mCSvDtPZS83iwlq
20ia/EbzKP5Cf8Df2TUFXU9IAvD1RA/liT1+NeHiMVqLfI6HsZsHQH4i9+R6XQdgRHJibZMto8VX
sm7ZMV0qfDNE3t61fZ9OmRHV2uoi9elNWAgZtYt8jLrvjb/As5rfLOSvyB9Pf7BefGqKQggiBYf9
0XrbRsmiBLR44Ckt2G3SEJ6f+6JGw67oBrlphgJPZ7gzS11oHzi+hTO43CSqdgeCjBBn1kt6bJae
3xfUO6FBgoFY8jnpzptV4qvZmsacRUTqZtu6iK8agsAOQ8VXvBmJL0B/cJboaSGr3PV8xleJSxO3
HVPUnffJMt/gIObnuVWA8VYXO/67jLRfNsKtc9zKaiDluaMcVA/IEmJjZazUoUQxeV3WRuU3gyMO
Qi4vB9pqgHdJ0WmyGowfIEpnW2hsbTlfBqYiezG3y3TRIlPbTPBy0lExRvTHROCWBs7pHD2glSnM
z1U1OJnN+dC/HUvSv10dokcRqzBkc4z9W9nQ+Bx53zWZGgB/nKCm2pbY8Xvp0HzTuRoT3cS8f0tN
mG+SIcG3PICSY1fL76G/QNpju6j5regCAbrGMGBEn/P5ZmQOdtpXbNJN7WFC1dr8jpQVyGqjnPh9
PYId5QrAKncM344KnLbKQd1Nw8rvRSLmG1t4tR3oxOlu6WyQmZoT02sPTOTmU6yasqBjZqidxktb
zf59XXbA8hmHzZIl9n7vp1ivWQJY0pypNLfNsQLNDECsIEqO28CIeW3ipO4k4Aa8CdWYzttmYRAn
sRXsHiSq/q0pejj8Q6Mu1OLUXQ+0u9CstRAZc9UnGSvm7tyhBdxP+25+DsoSqAZRAP/O4HT3b+e5
bJqs6Kp12MXRgZOUASA5mtL2eupPe52YqrUsOnf4aH82B57RUbKtqdJ0A2zQ+GxoFbr6+E7I8zZr
FlRC3ljNIYG9vjBpiJupUGo3Dh4C2JyOhwjV1B+8L/P8HPuI+iz6CdDzMEt1Q1GKHdUBWkCjDrVE
5VUYhO+5loC75pc9qAgnNNfNedzVJVp0ThMY0NYWo+OEQxpnXTRJa868DzbZL2gsp81QJEt+0/ct
r7XpOACs1owhvyCrWt4KRab3cUkAkk2lX+3zaUnI9Np/hG2gXMW9J6ad9IqqTicyJhkwI6sTHjnY
2d/2Jxg428VowHzLTtE6G05AcfoIGWVJrzgwvSzG6ZCrZT4PRTffimbsMtPnIACRZLlivBKZP+FR
f0KmQP2EDsuMr5MTbp3MAGgw5JH/FlilgAxSP9GsUHY+j2kSD0x2wJtGRLpao269km4s3g8e0qZo
bHrWWiOuetSqXAP9Xi5wOzXg8DnxnV7Lwu7bfg3vlTWAmX0yFnYDwa3OWA7odKNY9EqDcJzf0daH
doMT9iqYIsmsG+5bnJZXZQ0y/GGYQGaFFykEnUMRQmqpgIcYDB805OX5BsocxDLJW2MPIsmhSq8n
7uFB0+Y4qLtmMWOp00I2XPMY55t1NvndbABb9Az3bxdfzbWO1XQ/d7K4K7mAhAnk7bZMUPm6dCsc
LLVweswR8AsL4t1R9goZrVTebqCMdreCN9vVlu3GwzZATKKN5Ge8XpF6vfoe/9a4JFmPq2GjPNLG
rRQYeu9n4PTYVWeCUPr7WkQOKkVbndWqzy+mpC+egwBgjoVUt6kxw10d3P3SzKfsb/Gdb9S4KUew
E0gykOc5qH1nquvJbyCSgAJQmwld9mpKX4KkWKUbG6cjp2MSN3QacAbnMj1neefkTrWkvZ5HMo+7
lZG7xsh+082erTo2ZtqwhQypTmrGo25o3l61acJ+rzGF93uoWO4VN4rkvys5WaeHoc+73So7W2tS
VCPLKl8lF01tRzBdk/fA9XnxZklld7CsldcpaFabEra0T3HvqmwhuX/bzRKwSB9A46STTbIKR3Dr
oJTb2tozSBasLtyVk345LrSUV8m8qDvoGYEec2Jq71FdqgsOHE3oSqwQNMMIkeILJDfFfBKRIJRb
sylMh6/gvgvk0kEQyOmlgt+JBFYjglEXfgLXZHWtIA820I1YdSqXSduewRemaiEEZwqSs6h722wK
UkG+d9EdFhMhD0ZeeL9XXMgL1dfQtZAdzFxCMWkymsr5eU9hesEnEATTBeo4dKnsnuYru1+XEhL+
xxSYmjF32zQpTqE/odo8D1MrWz32E7uYxhHt05qvUbuQ+PctraByYOogIsg68Pu0hvroLYc83XBb
u80ydLXZ1IGngBgW4DX7T8vCLXf1fjAlIIk8SaB8pQ6y/VA7d4jLOD8PEbBvIye1xSsIyWeg3ojW
gz7bsPkSi4LQDDnVvZ3IAPID4RFWbZse9jrFFaZsnV3SGzb0tYdqIQLrGl2bYqhqPUkU0zQrZiag
y+PLIbMDX17mScffClBSe724pLyYejdbXdVj6aFk4OJ2StcO1FhUiwu2Uul3vUzxy7pLQG8bTfIh
uEHtzTipWcOaAeXYJFV3ZJ4gLEANgEo+qIBvqRugPBVubqudS1m1wkrsyaJDBx6vObQysrGXHAqm
g1T1Mj95FFQTcNPYQMTVHtyY4AFYA4gPCEg3931it7UEgeoOJwvIG2AngJYvBbXJ+DKKuRZ9ZidT
GHkDgqsSUKp6tdIeSuOw2N1S2aTAr0oJaLnYz1PgOsUAN2rU8a1FLK+yvG7sJkw1qLpiIfsmUYBB
UhCSzirmzBX0rWJmE7Ns4e9hMzOuzupy7S/B/cNNJyGzVNEkb+ZE2bMkFLmO3kDpWWRzKIjAepnT
ZFePoDzUchCbFuUgQ6XqnC0+z4aGvigkpHTqinGHUYE3bsWNdvM8HLsYCl2EGt+0DFKMBhjidBmd
1bgCRBJEU31ILOPQ/uryg1q7BsT8IXYbOIFTBlnhQ+uGD0m9XKuZTUeIawAG44CuVejRNYde2yai
JhN+aQ7zyIctYOP85SzGZVdCEd2Ug5mgWceuGQrsciZj+wK8DXUZxMgzqHzNnjVVotOEhkw2Yluo
+nKsQNKiYKprtPTFqz4R41tQ8OhVF5uyy6CjBQByHva1qtuNiM9pg28A+bVbkkzoAxc5P6M0Mmt1
Q1SJWt2mE8vlISnXB2hIgEPYCEd4xzmdzKYZUd0B0E5inyVQgT30OuMpg5iTfAr1CrJhKLvzcSDJ
UdBl6C99VUOQNgayjRUOInKNOfg+n2vjny/VVNosAuz+Cyp+Yh3fsFMJQkRKOQgL0Cwnj2n/Gkmp
oOL1h55/BP1xRkRDv2O++TkF/479QHcSukLQfQfaz4C4fcvWVG7CWHahP9TtqX01pqBlDt4lNWhW
uDsX7ERdPqbDn8/7HfWHeeHiBxcCmCkDpvjtvEDJawoqeX+Yy1rch6Rxh8bP9bybUgP5q2va5UYI
A7l4iCeU+/PZQbd5bF2pCLBiOOCwCPxo14svQT3BojtMPAcCskpHbuUp64KCDdk+FD38E/UOaMkJ
eRMmIbl/XML/V+x+eHP8zysmBG5KgujxzxW7S9u2D74LX648nW5ufB71WbKTCq6OURDWOFNQKBkC
/32W7BRc2AQNCwkpQO349pIJ3KGFuyVw5YgTqgj0lf+U7OBqyv9esgP54CTjfHV8Edy8kAgarXB1
hYKojx+pdtRUqgmsRectSjozgOrMRLKZcZsfbMBzv60YDZ1eaOzdbk4oplvRB/owz3XqdQOtUt2P
i7+clxxucYCCXa6v57Vm7A6rGroGk8e/F5IUr5p5TDNbCP46MhYuB1SE5+ukknxnu5IXujNJellM
8BCy1Kz6fVKa6uBC2Z6noLQdmpm/qOGiwO8JZM3lHHngbRoE0XARS8XaV7TKx/TCr8OKsrEW09ho
1tDxfbkuTrfEz1kuOqRV2e/WBW6arJVfoDYhmpmUjm+nkk9m1mNsksuKWr7qwTVpv6vAty8LqKQi
o6Ttqm1f5/YVhoKpCzO1a+ZsGcWRCWAcqeuGl4KN5OjTYPZkLt/Xg1q2NrU282iwpY6RkH1J7O1S
0eq5KNO8PMAr9BJ62HmzCTO1B+haQzV0jNNtwMn9XLFZAyFtpqPzaQI9DEW3A1x3mLMoTdysJh34
dmWJv8Go5pdRAQzBYUzxcVRq6M7hdkp+tzYyfdmnPL91oFhJkFgCTQBV97w+B7zshywF1eVNnJzZ
ntTOrBJpCjboIwDjuT0TqqvPQ5+CLccGWuvQ/c+RrpZlOg9jKGSWFL2BDoRYb4a2YBbt8wJSZYVF
peH/dpg0CRM0paa13QBAjiZj+VDu5JLnB4B55E2/0qXRq0/WW1WnNYPUNqX2wBIka7jhKsf2VQEq
ZYq2Y8vInGynUCvAzmQsF+SPpuBtoxtoQlt8X/jVFeC5GmvOa1AQPcsAcrKrledQ9lEOV4hUi482
rjfS5GKrgCxkVdVNZWZPTRvWDSAaCGgnujF4qes1oVZ7TqZtveYR2psSmHyS3lYzB9BMjsXoLvki
S71OQABsd8WGFRAhr/ZsbqDVVbW7VlT+VZKYFzPFqXYwza5YZ7jaFZe3GE3rLk1tvsvj8hKYiT8O
zpjtKobyYmgSdOw5q3YhH8iZStqgK4/91iem1ACt7Rkb624HLNOeAyRajwja2uCgmrxSC4GrXJJl
Ay5SXZoACk0o465r0xDOQMsvj95OvzuQt86cZcX5INJxs64N2jro8XWJyjzcPtixtQf7JMPGgsSR
FUOiEt3j0mSFMQ98Hd6kMy61yrteiwGBRsxcJTPEJHQjx6WAzuPcam8X6MqW60vQR6CZ31m4cAYS
ZsZciZ/D6svzki+JA8AS+iOmdHzoa5AOpaFgHDhsh6GPmyrtQXUp1nDohuHYTvzlQOubStqLFed7
5UaUQSvt1oqw75BXZ2kx3Xhlj+3akI1Ey7YowfqFMJmM7JUfhr1c5suSJLNWIBXsXF+HbcxXr4uc
3Qm6Wj21jd/gpn6oGXKatJPYgFg5vrRJeykHDEw5QOdvCBySoJWXrG8AyzbzrBG0MDRcJWQv0Gja
bTO7NktVnCC2eo9b8IfYE9/4LDFqPEhXv1vTBXgmyL9nAtLlGXQ2cz3ntLwyKpSHUVKzgVOBXxRm
eBFLuGwhYVNr117NkpVALCGbVWOeAkcooR/f94TdWDKIs64PJgOHuV0/9+ptOpg3KPFR12T+AGgX
H0DKHjNv4TKMwHLJeJKrs3GxdOshrb8IdAL2swp1rMr0JhfuxRQD2kGakOddmUxp5isRXkNeGTck
pjko4TSAPEPGmEEbPuwROGqHumG84gU3N3Se1aWb0c3qkgDXk5q3viAkK9V4vczNrh0Go+eyTzX0
a2+8aCG7GFC5RlTuoBNNYXkduzfMXlXUQHUY4GZAhdXeluG2biuxI82av5yq6bKHO0PZjEP5Kk3K
VxyEK10n8d6v6g3Q0SMZuYA4HvtdA3cRtSHTzk/u2Ilyr0iZgxUHdkVwMewn6d61fOFb7lZ/QIHc
9nlaQQBXHQjvpo7nfJjQFUiZN6PqL2pv7kRFVk3qdYs6tmjItFuRqN+YmoCaMp5Vp1zaJ/K59HTv
QdS+mcF1je5jAeRWrPK3Ki/wm5pLAR3aFI5awuCmTBov0yVu41CdpZKEHY8DOXeilHqIvR2yXHUm
q5Za7ut5XI+mC4fQl2fR5tU+1MiCeJf02sZkB8UMGuK5Sk/dDgWXXNjI3rEE/KVDl8irBe5+vTAN
3P9aUzdc/l/2zqTJUhzb1r+IMiREoylwWj/ehjfhMcHco0EIIYRAgPj1b524Wbcyy15V2R28wTO7
k7AwC/eTBxDS3mt9a6dyUFn8Mvc7I2PxadaEFQt1l7UZcCYs6oWw+air/pbPGw5WyfmO2unL7Me7
AbLO93nVR575rzJt1W7G9SRr27cFi9PmZvbRicBn2jNRZbSo43i7W2Om5jyGYl86GAA3cRPXex9E
Ph9dHb1XvTNQbUmrYUlMIAeyFjvT3EX6oQ7msc17K5JiwrlmmkUffR/LkhBi9toZd6G1roqGUnPk
LmyuWu6LCJbr8bzUZQ8UIMjiuyVM6SsAJn0f1mZeIXMpkEy536R70jLITnxst/M6Ry9sDc1nYOeg
PlYdaJB9nC4RmkUgXeDmWO9ndEeK7uaJf++C+YGItCkmtkxPY6wfFh0E8FiCx6sMed+uzdtoI7t3
a9Kfhy15y0amntemPdOATDuCyyupVsM3bK/suBBffciN2B06BHuK1oDuZD+LQ6KSJs8y0xZdy3Cx
4/zO63rc6TALbut5aV8Nn5acz2P2K3FxXbrY0Bx8mPros9R/SZcAypjL3qM2NkWXdelrmm5NGVRJ
WNBUyGdd6zBflxACVqq6PIrWHiLC9SXCA5N5BLh3P2QNNmSOr1cDPth18gcUvE8fBukT53p+i8Z5
F3In7lTYxqWfcWSn0pCuyBrLRLEZy3ITWnUzblt/lM4x1Ai6viVUHcH3tEUQp2bnHO+fso4ONbZb
4R6DIcqOW5oMbwHI3B6C9vM81mxPeMObgsPfuWhYqUObfcfurPag2njpbOVeGkluEh3xg+HWl/EC
jaaCKXErG56UE43mQsTwxIqgl/ROR1FT9DQeLpKMkIGm0V86Brx16claglr6ruqOFG6FSfBgzEy+
YIMc113kIpXlybQIdWAAvvesYy0OrzHQ70PKo5s68fEecHTzGi42gn6VqWzNA+ajL52IyKdWcfLJ
Gi3yYZtqnlcApAKiUDA43HMKGiXfYgDFrJvPqduCvHFhqSN6X6FRifDeagvwRXBVdqg8CpE1cy2K
riLdIm6sW9J92831Fw75w5JbFFpFp+dXy7dTAsuir5LkMJh0K7vJrDsHSu1U6R7d6RrzHIfkAU/t
HEs2wSueTan6Hu4Qc9/miU0F3YzLtamiMgYUBKVgwPnX9kfBNES8yky5yYg6RhNlubByPutw2VU2
upNCRi8NS+xBmSS7gVWJLngSXdGm/IvfxF7Ng32yYmaHkHw6JVAwyarfya56IbWFlDjQsgpYVCbC
mHKMLXg2WZ1t4vUuHdRx01h3nV3BuXFKij7QEODYXGZAorCdNHEO4HjOxwH+8NaKbwufIOsOfB9m
uMUdNy9rr/sdssQmB/55AxTAl5JkXYlWRWJ5BEzBMzY4E1V/6nv2xJeOHZI6+q60ewFNE8N22R6n
Dn0KnWK/XxfNCmum0jC4PJGJ7W1g13lvt4C+qsWOsKq67mWdxq6gVOKo8wHwQQKOMgItKkUctDmV
oPLabnvpBrPu+xE1XdNXzY/WkpKs6fa4NVjlkBtzH7IuT9asekmJugzCsTvL+FS4Qf9C8QvySow7
IjcYSEFL8Ujn+1WMYr8p171YJptSMVfvB6b5jjEUO3TIYsCQUt0CpaPQpttuD4x+uEuy6jMcbV3y
dk0OYmnXx8FDTORjQgqvUlQ9xPB7gKB3evXujoZ90fXDUmyjbXPBQn8H2ekckCwstqSPinSeZ8CN
6XKB1fOjR7+hSPBOs+2jNgl8g9Fd0OZ63Ix2v6jtVGXtvNuC4KDEryAbXE6SMbyQUZoj4g4PQxPd
6FVgexRDVkB4C/fGoL2dqY0O0TQDKY1JHkl5k5EIB6gMz2GbvcSwKvKo2T7W1H2vXP3Z9y3WTx89
uuk27asXIJlTjnaq/hYEdC4cU6ep2aAmR+ll49nXzPSl5bw/tDgc4Y5k5q6qKFx3HZILY+ZRLqjO
glGGxeS2EVJ3Vod3bdUvKM+CBwcEJ8vbbt1wJMgKl4uTYMhBQ4q9R5DkZLGCv3krfkbtgjVSLT4X
EaCLfGFqmnMRd+8KDkm/axrS3eHIgsWz9pFCgdfbFAyi1Y/LRKfjHKxDAYauPUjI0Bberg0F6Fg4
anQhsM+XOUaTY4aXxWXqNM9iPqGqbk88FfrAuAbU5rf6ZgldsrdA2bzdYMH0/B5etHzQTUB+xc3o
bjbRJGcTZUAYlG/Prq/8Pl6YfWba9yXksA/08PK21QwNfh2C36hnGLt9fYnWNCocofEtCRO2G7Z1
PUSwjUo5o1uaUxbsJ55mJRA2FABaH2Ydsav3g6ZqgJ+NcQR1CW0jyHUU3tcw5orEyGhHharuE3AO
x1T5z6xzHIJu+pHWCncMRe2tdkofrfSn2M4b4PL5jnQ9yopRpDiL+TcEeJtyQOKwlJ2Y88DEGmWQ
3cqlxcePfAHRiCYrWVHuoevfMwrbcFpp0cM83wuYGSfUjUCRAPAq1c17bFcxggDK49HHeqfa5iCF
uUczlT05GbADWmEoLtEq34FbcFTSLGxvcVTjFFrQLdz5kd/oUWe5aSUraZXGuWu7IpjRfvSEDjep
H6+AqAL23zKw8tbIvJ3G8GZqh+k89tGvYXO3HqRJfu0t6NbcEezuu3Wruwdp8Rj7NoF11iI8oNQC
BjogOcDUCfZ7FtwsTD40tKN523e3dZK+9hkfD6ivQWcAiwZrve41CQ/1Ar0DxhR6mVj4vQPkXwSZ
o3mDGQpbbx4BX9x642VufVVudbSDyoA+i0ZABJCcyZdJ4PIU5JpoLEKxYleOw+ooemVBncLtj1Z/
XvCmFu4qnYduwh4ZE1uiAPycU/nZpPEpY8PDOvXrqRk9LdFC3mCLfjXVrPfMrTu0WljJxKfFBMAg
x9sQ3m3E0UO2LpBRNhy6bIpO1pAnL4NTJt1um5O2GAaiORqdTb8NLIBssixLtqeKPGPvfKK+9rii
edq1yYLOK1uK2qIdnIIw3zaQzVAESlI1y1lkEIpjpj/11PNHWQd4kFl8GJZBlMkabS9AzB7SjU8I
cxBaRmO4n8Y4zZm1MilQKAdlolKfo8GRz10lfmZkuBs3etNmyUdE6N5gtAbpDm7KftnZG7S5jd9p
sskCjnM5SF0QaWS5DfMvM8GvVUH7TQyB2A0Mfhp8r6KlQMrVlkEr2SSvS62hBQiyoWyR1TfZywcr
sEEXo7PJWpiQpfedm+k5QE1v8rVWQJBmNOXz4C1+CCe5mdsu56EZdhoguy3FlObLkNyYjtzYMC4S
uXYoxOAM7qHi1GccWXHebiQdcEL7wV2CfrMHNlLFc6B49tSooXrIsKtNeT8CA+pQGg8I4a2oyKfn
gCXduO+yMfB7G7SLLSIiILUl6BE8tg/qmr1knAw0B0flY5jacMECH14c6M5P4ARpO10qwkcoFv9v
9Pr/j9hZEiVXGvBfK/HHj+Wjaf5Mzv7xK3/I8CRmf8vCNMQMl/jvWvsfMjw8q7+Bm2UQ+xHcxI8A
0v2DnKUUCj2BMA76kkFJzmDO/EHOkuxvPOQxlPMrGIR/If8jcvavHtM1fZnBIEDOFPGhjAE4/6vH
FCZcbdDA6ZdxNKiOzdaNHqksfM9iU2CtDKvto4A3/92kLX0Wog2eKB/8QbPAm0I1WVyocU10DnNw
KcG/FxPa/F28Am0bwxCfkwQ1rfNg7hvsx6tpr8dOdOrF2u4dwNcdxCF+oUG4PgiuwfnLFvIf9e3T
JhEO49CH8IIG7qfeAmTBBEMEIQAueL+CgALbNE7LB6+N/0gj4ZurSwlEHxA6nDrbWuh3oBTPOJDM
p6NCfkDc9Q9BC8yMZtK/4/C3BTd1mxaR36afs60hnBnFTjWGDkHtSh7JFMA57dVIX1y0bu1/cDF/
RwH/4YP8fgQJMFc81RAhV5JhGfwZBu02xmRQjcmXzUb8isEgfEVXUAC8X1FER3TAjoIzij/0qaEX
vVBcGvqQPi6aNpwP6Hj9Lk3j/sQ3N99uSPrcUcf6H6Rpgzc9xOOTQCxoFzdS3rp4IiLPxKRelaqy
Qy2s2Tskxe6zzL5MKoqPwDEu0C7pMxX0kAr+Qw7J8Pmnl+Thv67uzxlj/ldPFRfNwvS6gK+JOwbE
4J/IYpMlWV2FRn+BBF+9k+vTr/uefAWFCm4yDe3JycieOrlMOyY0DugumLb9CJPndnVr+GlagtvA
42W9rzVrz0sfxV8qj78NEaU/qenJTQ2o7V64hFyielgf4qx6rdlKD7xp1GurkUFJWhUeG73ogwhs
cGjnKCk9SJfdFiIwlkdTON+EW/RDJ+6yWEqOk6vio8+AWuQMjWSz+na3xsjMhIaLfdy8K8PlGcLL
8r0RfYTWK1q+G1tFAHkB0diJzOiZxVyY2e2nZlmf8FK2d+kc4GUaW2Q3ox9h10ibJ5VNxrKVW3yT
MeRTmypbXdk0IzrCVPJDuFla0AYcaKo1JDyNp4TYYSNv0agPF58piriWNj8zNUAW1ujZAGLFfDiu
CLEgdzaOR76a5kYh4XVbCb8+ZJrMt3E74OJo5EDiDmKTRxTtkhcbq+lT0Ezr/TgR3FDa1PsG5yjs
4eu7GbTbYzcv4xsT4/DJwQOhabC8COt1vfv3ayf+654FUjujPCFhBMeP41lyDMX48wtD67mqakCA
T2IK0bNypw8BGdWrX0H72xThOliiWDu2374vaMSKcRqNL9jixQ8JNPTOJLQ6D1M4vKUDg0ogVHgY
MvN15awtB5d0aFjxKe1sAU/KOdIH8Djk0ldXymSqt90Y1+vOg8N7WkPbsjwFkQpmO/C3kBGbAtuV
38+wWK8bat+e0Y1MZBdPEMia0EHpluu83tm23x5/L1sjB3TGTeJv7RCTCzF99asHCfo1C7rxjUPi
edNIHdw1Y2PRIhjwBmUU6eZTh+1h6C3qLLdCysoRp04OzG9tumszkd1n4dD7/xBI+B3K/sd+db39
KLUAJmRJQjFv4Dcs/id4HYDeGNSbrZ6oNTBsJ5KCx7FD8EUCLb21RNKwSIYxeJa+mUUeQ/Y3tzAg
xHrIQhSueYR30EGfHqozSi3z0c6J9cjdLaaGU2Crd8s8LgYsOEGuywX7f79+/m8XwK7HK0HgPEpp
/E/rR8N/tUTU6ZNKtmm3SrLeISoG9QA5XIvIP/aZaliwX9Ar7qEhZeySTJuPsArjG7Ik1S+8e+i2
qe8/0OqRS7Ks7VlQ46r9oLLqWaVX3EroGl3Ov//uv8/jf7r5LGXp1U5POYUR+9e1v3S2sRtb4qfe
xTG6inGsfmE1A+axo1WvZGu2W7mO671KZ32YugxXQLVOQIU287nvsqZYOLUnFV/dhnQInkE88QNy
fVNT2MHp+y0bm0tKcf1Lx1HuTuMy/ppxTOARNSggq8Wdwm3L5qJFY/vg2NJqJMlSdOIS3vVKLbYh
56o3Kog8BlmQneHu0F2FQQB7NUY1qnixvttEbwd0qNUJGDFaIJ3Ca5koXX+SesR+RSH/oww3lOxA
nvF91LefBLbuKCI95FFrzEmxuXrXKV511ATrw+9Xr+JB/cNWgZh3CdzrB6dbxP9WS58UHb0rOwkh
ldNB/AjNuO1lKKp3rLz5J1PddQe53hpY42fX6O2WhRtuH+uw85nGhrmnXfscGgq9gA1J8zXt5Peo
7/rTUIv11C50RH8KcQVqG72IdRnLOFXrnSQbzpJ/vxBQJOJJ/2Ul8IihZiAIXf0uB/+pbMBe3bmx
nYcnocCAFz7ECwb6FnuzWsCC+WoQBTghXIDYRL1HKWY+wCxAdCPYk3Z1B+s6GNJSKKnOA8jVJfdd
2LTFHMimy+ta76cBpEKONyn8vMKdL9j+p0+6sPmnayBilBxocVqOAvbvQaMcu531FO+6NPRYB0xH
KleRqtRekerKP2wdrMY6WEu/mfS0MsiHkKuhoInRqyKgmEAxJMEjZrx5QNkudD+GGMcK1pcowTf0
x5Vs44HhrYX+0VxLzutzNUszvY1re4TiOPtypc2245F/I2DfSyTgoxzfR3T5KPFC8JphsUoKWz4B
fPUdA1AQkp7n9twTGR43KBkBMv7bcNgGKvpbZJEZL4xrxSvOgeZ1hKKIeIlZIkRXm06+jRnj0N/b
IamRAkhDxJ4j7Ab5KIz4EfCUPAXzci1wQE6dw2zFUTV2sNW2KywegcjfTavoQlxuiy1PYQJmmMMI
xN+ryeE18IJuVZEl4IpLQKL6ua6nEbA3w6mzERl9iqhqfFGTxLQ3wTRdyx/uH2sMxgx2Wz2Enx0S
t0ijDsj6euzsYRHojVzqeGnPHgshy+sFkwSg8Iu+QCwr+kr6rcmwntz2KMHPQ6AEBfNkUVseJ0wY
AOINR+QXTdrslEHh30GChcKSJRWir6Hdlh2bZ15kY9LAabMVumEA5k3eDKgy0UHbcuJxG4AJr8Ky
iTb1K02Xp6kfkKWJUbYCGW1TZPWh2N6laSceaIfYEw4DjjvD/fb4+0X6X8bsPzBmCPNdZ+786872
H9Mo/wGm/fFLf0fMUhBhKVAyghznNRaKz/s7YkYwuQqkMTCzqwSI7OB/97aM4p+Qs0OUNEnxJTCs
6O+9bZT8jSdpirAhv/a8IaYf/T35+kdP8e/mGIFx++sWiUmRNI3QQ4f8mg6FBv/Xw7JJGiYVGcV5
HUgKmsL0CFlID21mSMGBIGzCSuYk/2LaAVXZVMVNVYQzYOqyHrEij5Z0Fd6+XiXnbUtZtVNzj7D0
FIbro4vgnR2ITH3w2HJp3wYNFKuYTVTLAikkyEUzHWfsxhiqkWMmEMRCh0ERDFEel1y4TNL++qoj
ekG2ieVa9ny3KRxnu5nIVRTRguQ6zndwUCwLUFRLn37HkI0ZEzB4vau3EEE1AWhkLHwW07gk9cLo
hVMojSPvktsFPRggH/c0KhrsMXcA8xiQJA/hfyWk+WKk9I8YZzHd2Zp2T50MVrhRax8IhAHWOs51
HNYwC6V5UrGZD/j4AXh974/1kvAzNba5ISI7rA2F6yP6pt/HGoNF6CiAzU8LbUm5wkXfsymlbwoK
bN5gTswXQtff3NO3GhLefdx7jsEOUfTgYCOd5t6zUhD6IJINx6dO0l3gmyRfTaAeojRQd5FenuIQ
KEOsFKbOmDUV35OKmgNL4cbYVLc3pOvU76kITzP4Bdx20dS3oxvZ3SKupxIMDHeBtzdADLyrjO1+
AaTj+7llfj/G2Pxqm45PGK7yPa6qHtomqaBiwM5IRvwh4u2NM6jIFjp4YVR8nheE99KG6y/SjhEY
E77eRCDqHxqgd4+mFZ/QgcVH3CeA/+r1BtkhOLwOtTxKN5bbxASPc792X5SF9q1bNd5RZCVQDsFY
q3j7aJWcECNpHfyzZnxp163KoRiuGMMwdqVZY4jbMb5psAIiCOeqft6yNIDvmEEPLKTuOT4WYxnQ
pRpyE4khPGN//6Hw85gmw9QjikWkIPxa8acUeYxHeNNzjhofJApS/Nsdu+Lo0sxokcO1P2yB008h
xYpOEzddMKyD3XjUisZGsLqx7G97yL3vs03jZodTSZyZFAReYqtQuwFFLweMgDg4WdX7YHA3CAKP
Z+REb+d5RJ4H5ZKCI5PJIpNrcIy0mnGiYg2Wa+gR+qqCqUDp/hoEai9GkHSND/cVIkMzwhTjoL/6
BU6OiOx9AJ2DoDnDZAr2RIZQ7XRmvo8mTSEt9K8+Ehok0vitS63atw2dfNE19CZmiyr09Un5H0EN
CbUnE8JBLnxj7go/el4dzTIHt0sG2KRypi5lyN6xGY731HTrPhhtX6i2jk9+GNkrwNalWAFOl12F
OhKUI16r4JxWIs6rhr4DXBqQZO1gMKcDPcnxvE3NZeom2OwTZo3p5k5X8NzYlQ+xKFk6ZBl3y2Ka
PeD6tWCtHJ+yKlKPSILUp1niNqMLjE7IH6+P3aq2g55aWhpj7GGD8XnL7Hz2NgLY6ZHXKBcyLo/o
AV4d8cExGDwYFEaExgvWj2wJMRMGRS0kdmKpfPDVEnWXpY/vOpt9ojKLd0my8WcZeQPPSMMnzZrq
wUdZcx+L8UMzw07x0GGWChjJxMyYAiGgb38bLS457IQpAb/Rm1rpbh/SGEs6rBWQGqZ2ygv14LHt
5mLFfocJnX1fYEDUt80BqYISUBWzwxps/Oq/IWsIS61rwuHLYNcvOoQkUme6u+87wTBlgytnHmrw
7CfMGxPjAZQaiDUVzygtNtmfTDsjEtLoSZW90fxpkukv04cwPOhK9ovIlMvjjDRgHhKM2UE0s4Nh
w5rOrXWBjkyi4W+SYA8/YduDker2XgwoIUEdLICiXoVC9JsdPerkc4f4MFJUfTB8bwOJ0T2CSRfu
YP3S5L61yE/mgP+zI0AYuV1WhGEfV4zC/hKBW0jzFg4NP9lpjr+OpLFnsXUYwTRtUfw5YfU3BXFo
SgqMHkkZMjgmfRrUFdmrSGjPPQ2z8+Crqw0pNcihYTqBuKvvhXLqSxZIGMtAitKDaCssXL4t4t1k
bNxhJlR3JBi88YHoQgj3MbNSFrWf2KVGXLDJU2bSBCiqq06zAe2zRFd3HKpp8Giwtf/SLQsXCAB0
uYVFhWzISoewTBO/WpSzGrNKZAyRFcGKzb2FVTR8DDZs3nEm12h2O3c7Rlt3j1Qo/xWuwm3oXqoI
JXY7vwWt2u66MD2h71c/uy5KfsSaxyg8IYe53MWzQpiGNae4n08ddttiRP3gS8hymLPEK9zFXEqR
vTq4Jhfk9NSPQIagNDpHASAkgLkeq4ElrzhH+M7AX9w77ymisSlmwxSkhaRwss26fm+bhjNsRnX1
yls9P6wpkPMciFXw0EgkeyGudfZd+qq9ixSEB6ziiaUYK4ORJ4gStT8YGi/0NfqLGtVCi2bT1alF
PKkkLcZblaafhvttiAAfojfP4LWPTdXtPOUIVSJa+R4vfvlZZWL4Bsl/3utAcpsHNQevsw4+OEOj
mR8wkgf9RYQcy3dADeO9txo5qyjIxqNLvbHHNFjMN16v6Mv9VrmTIdAyS9nIAUoAWt83EFYYGQXG
YHqSrHIqD9YIgMVk1AnvXCMPjobQ3TxbB4SrBN9FqQ3fKz5VbKebsF1LMgfxwSnWPFWYX3QYIliX
2jkt8wFU6QHbM+jCmMyIJLY0vfhlGs5ETEmZGBaC2XJjqSgWXKrMVqyZhdcexgMsNzrtYqE5y8lo
HokbJ0A3Mb+AwAScn1Y9HEjAXoDlwYogG6/te2vlVWav4WZCTBv7r62nRiObzsHbQ6DbfiYooG6r
cDFlRMFA1YK/gCjoPvp67PcRQExVYosHR+mBZgaQWVrsiDFmaJ2aNExv+cbSbzNyjEcjjK8LWscY
5OAjH32mQN9vpopEr3wSAuxcF60MBDyiV4Cb+mOdYZwAPEPXZkcJl+MpaytEt1coLB8zn2mBlLf5
ViO8/BjzietCrjR8dxsKyF0dLg5rKRxdnumU/MB4q0Huqi6pgzPA5+prwyf9AusjGfcRJIQbN2KG
1CzBi5ebBcTYpVF7knX7EG6u+Tro9K5Gxq0XHWCHDDB85kSh/cQf2YRgvEtZXWJ2ZtqUMTcUE9tQ
G2ZAwA8QTJCVBJjAPjH8iiZA3U39qpmH4QvWALAnQcbDF2QEwc9VXd+NCCzuFvS/JyoVfA4WT+Vm
IrV3YeguBLZu4mz3UwD2tUXjkvRnIhsrkBWEYAAq2L7UcVp9Jugp9zOGy4EuRbM+FmDE3K2gawuP
J2rHvKriEGCqrSXL65YBFAz5rHN7/cMEQmFriZbbHoLKm0Kk7bmJQ3EImzhAf1C5izUIOWOBgwxr
bceLOkSN2MHpzbYuGPeIC0L2aDjAYo3Q8dcRMVDYWNUCbVQ08VTtjKHJbqi27aYNiDkvsAwvuEJ1
oYjsfa+2Ztp3UF6OnRnmfc0jfRpUHZW03d4MNG8EZyixmKsxpA/RMAQ/SdjY0/92yf/6/+Hxj4YX
pu01dvevu2QEQP4yrv2/pv3+/qW/z06Kry4vPgdD8rOM4kz57y45i/6Gdhd6LkeU5zoGCQ30Hw4w
Rj9jmC8jmAseQWcn4T8cYHTJ+DRMAsIszoxSmiT/ky45JVfJ+E9CIlBdnkYY95tcw2JQ9/85Zjgn
fd/7mhyzzGuFWSZ9VlhY0Ij7+OHSLNFu1dU3rzOYIS6rxUuIerdATrIHCVm7u6gH7ovpaRHYY3RK
OxT92YPwtQEcrtVzrz2GO0JZOA3V9FxhbgjOEzd8hJFpbQMGytYvOIT0K50wv8V0C0KmMw3sjxhk
501/zZQyv8YfOhww62ClY/wRGSj1iJkwTB9M+uAnmIb1BcMCu/Unx4z7VGLcDFvuRJ/uLDIOWb3K
m1C2Jjskc6Wfl4jVmGdbB6AM3UQJrGDRByArYNPkm9DzzmSI0KcY+pmPXTOwEiLIekfsqkrbiuyb
alVGb8ZpznBbekqPBH3XBfCwK1yb4EWHed9D8F4QPUDTgY5/bD9Zt+kbDNvDHphtrIwta79aOepd
TCqGEZnQDlDLLK+USv/UAfLDdM4RWdvedOah4luYHtZKsFO4zsE7Rt5h/CHgpBcRjtjsGonc0rDN
Q/pqxmaeijRBdnq32Q2hzFVWGNRTcUBUBSZxTvQekCGGoASQAZ4tTtoPZ5jYcswoNu+sZtkFE3vJ
87pcx1qgi8e9ED0nz7yNEbD1dAEX1EwYSKDAQpl8ilSIPHo/kbsR2q0rUthtQNCNhoOYxTOYoAzO
PlggOyDEvmjX3xCrEMn//VdFJJ4rUGc43vAf8HNQa68cUeTb9GI05hZTSMddEU9d9Srhll51wiS7
TDODrIiUPrLzNfjf16xvkYXFRCz+imGciHlbZLhnLE1GnimJcRlAeZoDICu3HdaJRycM1Ik/zKoG
yMpThgw4ENzthmuP/77vCFKtNUHiXiKENILxxE2hA2hTsGcYGnAOMo8vsJBhrXdpLXF3f0/pgeAD
96euwAWVMXosWWYrYmVllvYJvatmtVT7carC+jSZGRn+upfTDylRMjQt7BvUvtePxeAYjDxQUiJN
DR54RmQmCUL8A0NtBUg1uV58tk1yyzeK0rew/4e9M9uuE1m29hNxBpCQwO3qtNQt9aqybhhyU/Rd
0iTw9OdLyfvftvwPe9T9udhbJWlZQJJNxIw5Z+iZn6wdxtlQhLzzGWiHHL6HFykhAG09q+UhYmKy
W0jXEo8ArojmqpgPkyWxMSwd5ua7kjjXxK5aFdj9IBhJgp2n3YlyjXK8VxsP0/DdbUfaqH87F4/L
TefP6phkue/dJfkY7QvRpc15JjLV72M5YlTRuRl/PxGANmdLFYZXKRjZX2jCFuv57S7DEofkY7nA
LofT5HOzfiuZZRa1vFOkkNeAs/fkgL3UvGd44h2CLo2U49CU5pW6thkfWB12fxqWqLmMZN9cLgo1
1ilajFEQuBlFcAhX2RkhGhMCE17U7Lpkh0LMo45eZTvLIcMH4p919ZmRubTMnIL032wS3wqrs2YE
7rkMHFSliKmKeWsIVRpQG2vHfpX63ta4Z0z5gjCamYbxRDM6CPkIFR3UaUh0hhA319YncPddLHg2
vYvF0ljVidgu6CxP0g7iy9yYffAypSn1UkbI0wUkoFQYGQ3e2McHqhjzw8QsPoOZWx1WirZgl4mP
7+nQf8mJpWAfcOg84wowP4TSAqJyFRPbVVrxMAzAlbQ9i6erCpgKa+PX/XbQqgQfjGoiP4ZsWo9z
5AdoPaLgS9fm2InDDQoNu1Gjf3fhZJ4nxE3nVKMZ38WY1ygQ3is5ds3EBSt9o+FIUROABAQUJJBj
drDPNhX25WhGMnFGpTtNt4oT46522voejJXazlRgI7UJsMJ9ipo1OFhYkX7zgkpcxBiRHPMpdL6W
frA+h8k4BwfsidArKpl9E92sHymOLudtVZMVYce+bTLrSeWWek5dr9/VXYGuuIxCjHgcOLdoOku8
0/A7KqO5hlNfQSpM7PVbtiRoCYUu+8vQ1wEiHdBeD+lxLD4tQC6XAxxWXLVcI3hdVXGNINNHuqGN
X9M8YJqZxWtw5SfdSUkiVVKQ1NujpMfNc1665aIe5vBUauveqSx33qPCF2pbhFNPEa9gN79bPZGe
441/NqBMPqyTmGB9Fu21HutmU1hjfFtPit1kCTYQl9vx3qnrv0WiHSo+Ub8mZ9OYiasWMxj3KcbR
5Rnhh3ootXeb+pQOF5cqlE56B4dfJ3hAmkkNapyH8KYDuT9m5FV7G0bV3wn1YBx5wsc1ceVfI+zT
s2b2G3Xma8BF1gd6yeOkZrPw9ZGKP4yE1r3te0zUJIQFfDrs1AYyWkuwcagXd33aNPvZRVVb5sqh
OicUMrhpSNt9qe3a3qVxql/iloZxCMOBVg52NY7VcenKctxaDtDQJLpmG8728AjkFH7KyH8hzGRQ
psfcGzcV5PPzSeLgtNUif8FkpL3U5TieBtd+0SrsrqkAL8PG0XMrgZTi4aqXa76bvMh9WCILSBNu
wB064uGfyZvVyxJhdvc6D3Y53WFzESeXg4JXnpQFMHCn/nZJk+/S1IlJPgoY1KEzX00DBU7S+M0U
SHUB0cq6UWqQ+94VCW7NQfWtHPR81WHQtI/9xb3Ls2H6FGYy3iVVKm+jNvLxP9JoaCmDgqDZqI5O
gRUX1zaa3HqXjrZ15xWNvwu8EYlxVQabyZPzRdtX9Us2Dt7Wb9onMEq8V2z1PHAk7kmZ/B1U/k+O
m5znWIBdWYvv/a11IkiPC6itTtw7e8ro6SXqpeRGAEddj4E6hiN22UXgAuDZDtbEQdPOOP2kFDAm
qkBbN/VECWfZHQcOP+sELdUlV0qvKmS2EOmdv+LcCzZJKfFjcTE4xn4b3+K5LHcOMiX2whYDpRmc
MxFRvO4SCu2bWnKEHyJP2PMG5Zy4CxNP3oYRIr+GXI6DvsagBT+qYVusgK/BMF3jd+pv2jF5knbn
XNbKyna4QrXbBEPoQzRU1UOGWA2GNuHHwa2djMox6ud9a8/WZhykD4Lap+kt0llxKIS9PNpKTZdL
L+y/0NuxQcmkuWYHmo7Z3Gf9bqiiOzHAx2vrMeVb12svRbVSn/erctouda/3Y4Mv2Sal6n0xgvbd
wfnBBDeGnTHk4VVT4H5v92UMT6sCLBxTzKYrnKR9JySgmKfkaWqjbhP0M4oJyqkXEqz5ONuJu/Gi
NDzIEeeizaByLTdVZUfrNgxGqTDsSX1WQjUUW2oFFGQyVGuXuB7CFg+q8qzVXogmjwef2lk9xHkT
HPCTifM9x6E+ouhFNUABZxPGMNNn5dwjXcdeSeWpt1uXpL9EZ+phbp0u4+WsPBThEDkEZJhovg6q
OQ2p8fsTRMJR/kMFS++zQvrrEWlxCa806I6RiiiumdCqrXq1KSdAl9VDvLDF5k/uM6tr93k9Zdtw
DMdrbdjj8VIO22XqjDA7gCKeV9NpxShQPHG+FddDXQpodlU0IwMYMoFO2G/uRyzK5H2JvGxFygsq
Ng05YUGtvc+F49rJIZJ1zQKyiQUL6RQ3AL8PyVTOV3XR9/tlLID/8z6M73rCgGu3xJNzUy8igQsy
1c1uFRjfQxn4lIxOc7/GOscWJ0kPXTEuVz4Y1KmrU1SrEXn6bmz88QK11HA5OzBqwzqbbx1/6B9T
XV1Amr9sw3Xe4bfQ3VR903/Bghef6aFTF87kx2cqCZ8J1DSVPbWDf+Pd5dMCO8GfiqI4wDpPyos+
XbVzyKJ1XTbaQzuxpc8CmrjKxS1hFGhH56LCs5MtD8krfliYJ9YGKcLo66oYYZZ9Waa5v7UovN8g
EFDZPmkzf/wcDu0jCpW6ACnORi82Hk9sbucxoqouFcF945R/gdXM6SWC0SC+ErX9OmjDBPMJ5DL0
zSOMmSzmPedwKMMiT4N7w3iy/8oq/ktp6Lt1fNu0fQevElM0q9xCTf0Lo7pm6wkVJsFt4rbdLaff
OULyytLHHzL5/w9J1Tjc/JgYGy9YutM4xj7FgYZNdv4jzzCJ9Li4CXFtoJSHtyGZqJ+l7uO6BP3X
CLj77PfX8z/6GEe2J+DzuPTdsWEH+iAFP16Q0u6CH2/fHOtKRVdDSugOzd9/LawBxp/bjF9gKnre
KZnCERmHkiJetrj6pdV17ucYA1ks7D0+8Z66qd5MVBH1tRdwF/GNSzG0BZgkAPTAkwnbKmNFl9gi
IqH3hvXBxZ9Q7bu5UMdsHAkz4XO9Nv6kh4feifz+sEIuou5aG7uiF1w/EPjCSSVhS2II3Rl17xUZ
kO08AhnSbIZax1ejKfkHg9H6QcDRpkDxZooJL6/9ZOMfMV8BbQZwCCuO7k1AteJutSjUHiKAvP7s
zVNp4YPqBrAQNziVOnLe907YfHrLhSvZOX9glxq04+eXHvjSA6mBF28Dznx46UgTXTo12M3RxzGf
TBPjRCwknZJ07fdv2/yhXy6EqRNhAEY97sfZFSoyuA7LtCP0U15xG1bVfqg73s+byV6fGT+lpDFE
8JVT9tO/vXpoQ86AtOHRYBYBwM9TDcNcWF3L3KAWa91HSTVpl3XZQvxorP5mi6vKISAJsHRF2vb7
izsfuGvw1uB9UGSKXAeCxi/PjuMN1nGxao690/LXkb6P3nVQdO5jnfekzVBHePjJW7CQefeZQqhH
4lcnQUnPptl5fLuh/yMBvZOAvvzY1/dHrYrr/Rbc/NAA7r+w6Nu/+45vSkg7gUAnQw8icKEfjKYQ
sPyP7xB103sSLPONH/Qd3qQFGu0KDOZoAFH2wR/ULcL16T8GdYec0v1XnczEz9CmuSKHNlxx7EAk
6OpbV6MfqMpAS6p2dOEjJINOhy1E68Ej2doGd3n2/bEtXj1LsbXV3dJDPBnc2U9nJPax/TmplUc3
r4Y6QXBBGwfIowUOON1RR5gpE/lVLKINXVn89rNfDDkWBJaUZY5JLduK8w0mzTLeQ3UNSqqlsN2+
iEp08pRI4AWxqZys51Y8lNXVTerY+GbuktJXBWQD7dNfxgkQh0XwNCtnuXRxl8j/wTel4d/8fjF+
UGLAxOJUZQPAYI7Xh+HbzzsBQEY2pjINv8W6qfPuOFB1945wa3sVHNceJiHa56ylr2xpw1WI/8DG
NvD3D/sgjAWg50Bw5nHUwuqPPhx6iHygCtoy+5o7GFNhToGQQxj/WrCR/KBAVtWwU+mQeCk+BNba
YlvhiaV3SQuBW8TFINPauG40HSXoE1zZjt/9fox+jgToxyeEQJ9MC1UH6RzT8ucxmtPMQoAsrK+S
0N92dzS2SILuUIbIKW10doOUL4Cj8fCHM+LDuzHX9eCuuS7AKlKtj9clwGqCxhLh12RhzuGGbWNQ
+ndKuFWTt+fZmN3UuBMOZGMpOLT8wz5NjeHHV8PlOf84ndzIo0kOa+jnx078KUOYk4qvVgAvBfMb
bUv/lYVkDedgaEF5QizdONei6JbxoUDuhY6yRy3GoPz+BfwcGfEC4NqbbighcjxG42M7tUFmNlFi
HX8BCK99ddZ0tEHAPTSuoISeoceZeSu/v+SvDx8GoaRyA5GBIOiNXPjD3kHrn7gESlRfPalZ5YfF
kauDv4rSEAD2WRh78kWNjHoHIEmPwZfGXiZFjJU1dqv/MBE+FGnMAJjg8G2hcmz/0gYiiVDpRe1g
fU4zaGfWcUbqy4Ko5ialbfuogai9bYZ4zwXvj1xEYxhBQDB5qFqZL9vaclT9EFVppepdB3Dj3ldT
Vveffz9mP8c0RpYgiD+JXZ2APfytCvZjADvqOFQ2qoDPsxoUk8AeC5vBsikl+NaGTHqyHlq36Myi
GZC+8CVrk/HfDpZjmKVS2LQ1xlOEre3neQvpjZygl41xK7FMR0Z2L2ibND4aFv9SxD77fp9gAf9a
5X7NjqraSjn+EeYLVJJNl7Lbmp1/IXviDlc8ljw85iH5/X64nI9zjNbYQgauqePxhlEB/nyjs9B1
G0F+RFVB9F3tcyon5XiLtUrW1lvdLR03Z5Fa8rtm6aoGT7JiXawH3bbxOQreMk+21brSn6lKOyof
G8zpZYxvhm9b5b2somTFn0NEM1uia+WLU1/YkNz5q0UWa9ot/f6BzMD+GNPC2aWrp2kdKlkwv6j6
9LLOyFP84hjUFvjLNqhIBV4kRTOm3b+9FBVGvCMJYN3g1xaeVexWC/2/EhR5ZjuafDBsPIFczH//
tPl8CFfZf3Eew4eHhqyChii/BMust7qb6ql9QWTp57RsskniOngDuBwCla2Y9cLXX97PhBJRK22s
3u6qdWKM03AqGoTsDqMWf96mvI9nk0sMhXMJxSeY2GyPHyY7dh09UvmmfWkVe0O3F30Reteuk4rl
UsDl4CVHFJ1WvNPnBZx4TBV6/C3HmJb3SbfG0BgqL1+flTX28gT0aMIeHFaqkt5so28mXdOLiIWx
TIE/3bcqL9bnlfaOutjYJWkeFCXmFNOuqSMcVTZiUcRXIUZ0zEgB45ov/YrtZrhr/V70B8pOZkYW
c0JDs133dnlajFiYp4TNnPMnGkIi7hyjOxPxDK1fFa8zfmxde4gm5UwPnqAx7JVSRQxcVFbKpb6Y
xMBhpAc6+YQJOSZ6kz05LJ0A9lj+z9TVDYHX76fhx4OJ0Ye8g46VaU+R/6NLLgl4nTgYqL9gMI2r
DBPQDshzdZM35bkYO8329/srftxjXRThtusQjTgET79csVcUfDUik09iBRX3t3r0zKbu9kFBSCKn
zpcvcS5WJiEmaUOfXEOIC5inv78NE6T/sNaJ3QN4CeTKwBS2Swb7IThYxTRixiir54qGNQMNLOA/
Wt8a+kCwx6ZFXzt7xB+IvrH5SthHKQI0sNbDwZ2aDapCDeA0uEl3iQxZPswwwymI9dqR0/0QWtjF
df6KrzCTiG4GsGtjEkUvlo7ZwlKbeYjBDDHTeZwXg9nP0FuKG+gSAUI1USgxT3+AZz7u1rjphrah
W+AtSOJCpvPzbl3IOK111wdP01jTwnHvK+USmk+rmbceoaN3TCkmMG3nIoKJg834W7xuYd5iVgVt
Odz4AYTMTGm3y1bkbFnrCrPxd2tvOwCmE+X7s9VfClZdrCuTKTi4nrM6A6djGf3hJf6ciEP9wIuL
YIBdjTfoOB+7MNPqplqbvHafwgGWZHsYWlAaWuNS9DRL920dU1ZduLc4pTcBJloS04puoyh4FK9W
6pCcOLNvftSgFiteaUcQeMcMuis/6hbdyFPczXwKGqZ5xMXgTofCCoDVWyphuKEsnII87h8e7UPs
zKOB3Hmuw1LhJCKK/fltDfgyBuXYLE8imcxOhd8+Uwun/az5Mthh4UK+Q+OxPgdubU79ymqMvnCW
4KHLfq3w2QEOFtaon4i9FcNBBVAw+8S0sptQbouYYhDFW7O7jWybx8xtNdvaQJzFBTNq/HxH5ugw
FFXiMRTDEKSQ133aBLAkUqwe+e59fMxWaHrc/z8u0u37yfujzP7DGg0JgogZkbjCKaNv08cA3tGr
JxeJyHOqAsSeh/eg3U3hExZb8uU0qf+0LXw4jswl8Y+2XXp68z9iwZ+H3c4bAmNEGY/9SPuQ12EZ
BiYUEQ3j4+WtB1ec0jEtPKCb4LurjiWUHAIxNj1GScOxGW4DCcKeH2DFhmwGLMjpXpUNn5orWtDc
06KFg+r7a0s6rJD1Zi5R6FLE7m3zOhJ6pTL0CBkdvkRLHk33NkJN7sQvCs4m2IEm+/79aHtvyvP/
xj8sJ2kOATYJB73mr3kiQS7SaHte8MlYJC4+w1iIdhtrO85P0l09tSCpR+4RbiJ07Xm6UXR36C7s
chQz1SpiOOtSJZXlXccV3tDbTjdz8sXOMCnQ8ehJSh11U35F1bQqOEKyUq+afsz6xpsce1539B+P
sEzsiIr78QD9KJxOqkvj2VRh7QrZvq0c5Da1ihxIogPGgxs45t2ao1aeFEZWyVyghqQZsNILRWoL
L738AIw3eg+yHBYv2dqzM+oRl0JNpZOoNE6G8yENiDchF5V6XUnWmYrt+VwsiAe7vs3lYYoCGIt+
Zc3ro5aNmz2jOkninYCNhO0aWTcEeIm0EaVG5uoCI84yOUK7GnYd/Pv1Mo5q2z5ztJO6h8Tqw9Te
t1g2eU+LPyWFBUfAnufHGRfr4dqiD4Z1z4kRjF99JaV6WoMpoWDe4jCR9ncRLuHFWZyB2RzWxgur
ZhMRPbroZdXad+Fnp8rD+iuC7gbvTabK0n2LxkFre1uUukfVPMTYaoQ7shu/lGdxZRXyhETOKoqz
SbZuX6bfUmooA6M8OziIederaCam9OpA4EjvhLQHae9rhBEoYccoztLSOBUXXbKn1/Ogpys8NZMs
O8RepUf/Pq5d0Z3L3EsTmu3OvoTM2k608FEUl8NMUy7FGKgbqJor6inn1PStFKpTVnHabAvk3Wyw
uLSO/t+NNeIYfs7k0FZMZZywxTmNLVFXtBmQbMzyBk51wJfh/Ye4n5T8DhjZ43IrepDu8zpSlpou
cqnaxNDfLIsWKUvuFyMstTrHshgfqMmci7ZvZTxOIrA/EK9zvEg72mLjGvnJzaJb3Qa3eWzlujwE
hbDc9pxKWRRONzIXfhZtaKtjkJZAYb1VPNOMO7bWS88re0bKol2MU12za3epf2mJWAXwOICxnfI2
p6odxnvEMbpP9hg+C+6dLcvc0jJZJU1mITYsWbezcR5T4a4ebMuv/3YTt+Z62HlH0dOYhF23VWT3
jCwGmhknyBZo2vwR7p+QhZZCkYnpcb3g6bdt6tRCHvJUmxETJX2/aIbcY379UFeB2fI92o+EwTbS
Q8MEWGvijbMhUhWfa98fFUrayvB1OVkPRl5RH3O1MoUq/0CV2rweB7ae6//llLMZ59pDfDjsrNFC
xkcLcIwfvG9dR0LTHVSWEWltdYgnGNa+YepDBGPKj934jL09InfGixpNQyMayq3zdYhHLreS8abb
9UEys0xFkF91n2NrNhNMKsu8eWr7/KyE6M3PpsnhoxyxYae5h4lWtzzj9+dRSojuMzBiys8wg2jk
Q+F7cSS2+JUCa21aeoAxFt9nD/7XEX8yyC3zcPGwvA3GyKxR2+8xbuSvvvlO9H5xLSA7Ww/fh9p6
//h/Bvn9c+AfbnEduC0+9Funxhrgc5Eh51BnWS0WHpqGz9AmNpDBk8x+AFZImogq6tuLalYKrske
PGFUyXntREvsGzEDlbqbiIZmjNLkViUfcVuQQ7UFvImniMbmiwl6ExhB/LAMIIV/jt5HkIqmxxNS
CzfPlGLhsmAV3NRSO8dlDA3mYL+/2vfpIeOiZHwkVXu++DRU4p/NcsF8/5A4ylwm9VLJD5ems4P0
CdMCbxwueFJhhvd9Iq0jpFvib1eYv4LYpeff0QhCMLv6ITW3/j6gFkbyfNOUovEQX9qUa/PzFY3v
3J4lBqez9zobG9Y0jacMntNr3m82BW73mU5LNdOn94lYeXgF2Vfe9CD05g+6k/kCEQzixrasbbMc
qtU391+PEpf1p7FMyiQ71EnI30074STiWPRL4AyX4n2uZHkfDcHZ9yGP6NvD7UAiK/gjnAANF8/b
rOCcnxzs0uwnIrc8nHZtZ2GNs7X7JObifp42pExD2YLYlsAgQAa8pnQ8D5rELOeR85WfFcuIvfWh
IFjEnA+NYknBjN5QNmzUMvIwQITZm4A+OJFDMX2TUt7kC0GjX56wkOH/l0oDDaJXdQDAOioU5Wkq
hhhQQKucqyMaaqZnWcczWUC8rGbu64itPD8gpnHZYUKFKivclxVHbLWfrTqO+nM/4qiaP9lyztlv
EnxuCzpWvIPk+VCmKj+MKZX+9svi9Z4QxzZPGY4z8bZmkFaWDBhWHkW8Pgv8G/Tw1NH7R8vj8P7o
M0xJhkigcyp4oiLRPSK/1XbY5QYYHvyOFh1m1oDCmSn+DsOEfaEZATwHzfMOWebyRTHB+XyHVxjf
ZeUKWh55blFHNKrPFlldi9ZRfEIujslhJ3/smVfvIMvq+LRHOox1p2K6HcQ0psQW/B1QjEnLwUI7
OhSAAsdOQepbVeRO9XYoASb8S5wJzHoaPJ1RWoDNN7BVChkvnHn9wk5DIwghzeDBkzNQgTuGBRWG
vKR/qX+plpKn/KQJz2LrQse9UtkpErmBXpuR446iZSzkcOcBzi2YTsa5taQHqfHchmfYWDALKGuT
4L54CQRNdIOc1bz81fJQ1x7QD5pjo8I/m1FT0DOZfO8jmQ8N+DrN6TMxXejVr+LgDgWQth4UwTSo
wtriHf3Cfsv8Qqm1MgK5Z5tniNvaYvMnvTQoVZkRrxJZR1WDnktGKBKdzx6mu+VJyq5d4oPnNv1g
/aMzZOfxnhNNlP6mp4VKZ23D0gnUMzirLoZHO+nyJNnCUxPpfK8DYpvuazRlGMF/6uMQaOJMFeOE
BsZy1754Xr3R9Rqq55KEYwN7oCGmxKksGp2RWV7lkbud+KEV4KCLM7Q3774/yfu7hHAK7A3/SSzm
sd62m7KczP4XLYnZTYj+zeJFBW0+Ub/VJOLcNT+jmRMEny3mleaDMbZqfILM3VRsshJiIboqosX4
tA6LA7uIhWpWZVSZ33yfssSU7EQQYM2v3lF+s51ayVbNMLuDjYNNY3g7pvil0TLLxgHgxYMFGLnn
uqvNKk+s1cCBPdUvvtA7k92CPjHMbw8n8vIEGmvuvMion758v5CvIo60jqliPbxnbLh6rUGxyet2
9O6K9w0LQ0nzl7vQMRC7VXYGhKS1rsIppEqqDiONtJOj9TCiu+KZB01tcrrI3MSEcSmERushmEpz
W+PbgrOagnNkg1GBWeSta4qnu1rPZk4GMSRzer2nfV1V0AdLVuPhfUBAt82mh0WnCbE86Cj5Zepi
3Bv+Afj6kNC/WRXCyaBcHAXS+QUsR/ZHcFq07gPMUcldBwmOuQ8KGXJ56izPrCB04mZ1TVln7v0P
2d3PeJe5vDTlIJQvPg3VP+KsapwbS/cBUNX71piDAZvxp2ZV/oGD8qEs8GaOhy0eoIxPS2rAmZ9z
aE2z4jAmlPzPHEEqieiZ5pW0jcPlwszuCIIEX8Ys5w03Hsw5HxrO2+b4+8f+GUIweiBQIcfn4UH1
mefuz/cST7jxDCy9h4haoXzJ0KWwRfeo2MQe+5g/j/OvF3ShpUAjgB0CuBh9wBUpFdhOWdk0ZJ5h
Gr0kBSe+6YLNNvd9Zf/+Ad/6TP03aTdPCHYLbdahH4pDke3DBecy9xIU3/L++46h09WA9osUi+8f
Zq8Pp0Pexqu6G7VYcvrj1WY/FyikH6x+9TiP/nBHP8907ohUCmNPCr6Rjzli+AFoXCLb0sEiuvvy
fVFp4jrW+DwWMft6Fk4ZryD1xoWVGQkOB0ILKzU3kreiG9ft1JHZH/xKND41EbaWBUe2tuPjrI/Y
OWWLIJ/c6vcqXfu+zf7+IT6+Rl4cBRob01MgWSf8CD1x7nYDxPrplPaF2ZnWt0CopevEeIc79Ohd
/fvr+ZjJIJizbTrmfRizYCYacUN7PH0/9mYa1eQbu2FnbTaqz5J/Ba3hy+pg1QmyyMbNUv1lOxAa
xjyE1Pz0fiwRJJu3QYcR1gXiCXNg/P4BP1ShSPZgaEQU47keETN70M8rsbaHNM6h1n+xYW//ZwJi
w2SCKiUwKTtOOpyg4xnCnBtssLSgJoDZse2g6xD1HDzlmJ5bD3+4r3eKyA8rCLSPQhy94YydHsy5
j2VM26ayEmT4KaiVbu/93sX9lcEY4YCNzT893m6h3DZ9AjqK8COmpwqtnv0EK+dLzluoQZgnFC3Y
DYpX0AP7tor9JGng+mtq1aeYDiTOvGxjl6LRp77DSCLZq9z1arprluPqDmhsbIkTSqh8wDL8151G
wJ1/r8ghzJ0scROjv+lm2gGkE82JCVNkhgwFI3ktjqQKAR0uSytvOTe+hxh0mTYTt3gPDIixQ7Z7
+bYRvScLxdto6rRy2XxJ7sxBrpEuEpI2bkikX7sjw02QJMfgJPrShGPWe3TSUrTlvdltiGUfTbUg
sK6buld0aN/h1lDiJPEf0KLj4ENS+B6KvMVA1MY047t2oTmGgw4hxDnZQSEx04Wobz1UBXnBdGFT
b8iSbTlXPRkRiDxWb0+CwDUSJ4lkGwVOLm3aAVz4/aRASpf3TCrS0Ny7XVqMFcApGEpAncD08KJH
8NYam0Tb1aYTsJrc26iLcLrZJ530/O7RX+jB0zxSMTA1KaI425WnBgvBRj5mLXhxsmOeQ3M4pKpz
nHxbOYSN/ywkj3144ctZuy8OmvkhPAF8xe1dHUU51u153Vs2uSxLfx62akip8e/rZuHd7vTsrvhH
2hbYAg0umO4+ClMPk5KrIsL6EyP8MtcZ+XAUKiqbWUrfGM9Gd/FZ2lWxpLvYI2TGByCAd/s3LaBC
Cwr0e9Hs+27SUadP5FVIa3FShjotJTrH75ES0LWJ9Ba6nfHlfWqUb/FcHZQFSZeCzTpCZ1S2RAKm
0MTQS292CwyRdGFN0SPbcBM+YDiCn01FsyF/kyaJfvCXjNZBS6bjM5qBiGNmixVX03k6gkU094GS
7hZ1VnoKsqG0QX0n9RgzqY9e4qObY/VhPISxyt+JndEfJ3KQc4alGM5IVwGF3Bpn2dZ+aVC4YA/b
SnwssxYZSYpbXmdb6pAHs0dLn2y8WfNysPfE1cM+XGwslIpeVl/SdnxwHXQOyrOSy2rqcV3oAZEh
yCTHqRmjXRrp8C5o0w6+QZt9xbw2xm4Vm4/Fq+udH0cdKnkXm5S4po5btz59SgpkyFsvr4OD5k+e
h2RUn3HPG8/gY8Rfu6go6VHhlNjiRLl/SHO7eWg90PVNCciCXFA0yZOe1/C1tGqfZHysHnXoZnvb
HewL2LAYLDSWJa48gLaDGno6bWLbcAf8l8GjGkT01aFYQ0bitM49PWbT7NAutbV3+mq47ycPyICt
YNcvM+z9Xi0Fag0dbuOARrHh39nkRss5HILxS+96ubNvxnYgUcmqFGNtCOffwsEP6AQeW+qiiiAU
7Dy6hN3RzKkg06GzjI+JI920wrR5tfO+vZoDz76kO4mZobFvqqD0ULqYCUiv7aCYzsGvrYuMfmSm
y1xWfnW0RiSJQydGzwN8x0+67fS3zrJm7IKd9bXv88aFE9BCa1zXnpmbli3mHU6jxl276mK+kGNC
QyMbcu4JnjAbMUnRdtKiFBfowsr2Qs2dOrjtiFVSWc0bsNpnTEe+2GMcnzzMujdTjwAIcJAWV8lc
TQFioAbVYDDUpzb11KelpZlMjoXUkNCmu4DFUOCgleAQYY30rqa23GyEW9bIzLTYuHY13NEZtEA2
tqBiKYYheerSpfsbQ3G8oTssobexY3pD5NwfNVPsCAsW3pyuW28O9W2EKxmWTuuUv+ZVu+KGYlfP
dYOTT4vs6C6iDHBOJxE6rig7vkCC6r32oZyvchB7hBFAplw0HtDPWggjkzG5kqHVID92iuhVWYQl
u5AIK8dfru9upZYoMNxOym2UrcFxcJr0Fv4Q7Aydqie3qVuUebNzhqWWfKXV3pMm031au2oN6W9E
t5i8q5JvCDD9s3QIxnFPILc8DCry6VvkddRci2RAbzNN5zIq2rOOSNKhw08fPUX1EH1G6SQecxU3
n6d1Wr+NTHAkIo177UENOLM5KegM1A0PRIg4Mep6urJUX7ysdlOf0TsMWUENIHxKF9vjLDNmcHae
hSA6fkHzEUor27av87MCE7MnOGeC+6dJgmPX4pDT4AIX7Li7jepUHZ2ljB6qSq2XSZ93+zlgyyWR
rXC08uzhQo2evq37WD0q/Om/CPyA6aTVLdPJQ4C9h9OpbxwxGFlRoM/xy8ZDshnD+ixG47wjwYX5
CXARna8WTbQxaFZ3qxumTyHgx6duDYdHDnwcjiwVXK+ONcCtktmhjGIfZ4MSbR7Sg5JGhkuNfAmO
3GFNrOa2AES/patxi7izLe2D0nn3qR1GD12nv65XKvLGSwhUBfl91TwmYo0q9uxq3osAjxaHqt12
alfvJpwSAbaurK9W7MKNu0Jmt2Z4RVcz0eouGAGlw6vCF1Mw0K1PFeWACLWNr7TVJrfgJOUJZ876
uRzUK/8G780hc55pdjHu8jHITziPGFfv1skuoqZ1X0YrHvUWhZV9DVlnfMrcaerOUrek9VaUOlik
xY0K6YRU1f/L3Jktx81c2fpVOvoeDkyJ4UT3uSgANXISSVGUbhAUJWKepwSevj9Iv33EEltsu2+O
w2H/g8iqQgGZO/de61vusYid2mcSS9LOyMTad7DZE9W59O64KYywvKoUJvanGUos19pSp769aAiR
zLcaHrDpUJpNcQ2pRvlgl25SE6vXxhVpMHV7m0bJWAQMbef4VCRZRXhbS4ghVNpQU3Y26KfldnbI
Aot3a+mh+m4jMXEDn62rKcqOGafqFuOnTeXiiWIIx0v6HSn5hYMW3U82FEKPNBqLMDUKcfBllIin
nqN0/4BFB4ct60hb98KicIpKhEH7sbfso9ClWqb3izGH+ohbuSEA7qiz2KkHx6Snv2vyeY3wGDsx
3EESzlI0NFGOT6xVQnyekH1deZcY6F42OB3zDxUG4mU3cVRMPRV0GxZXN5XET7V04i9XLNHkI9xb
/Ire1BEsUeJZmp0de2WWXXoNbdZyF4PLX6oSvJMKYHjVWdUw0K773kyd3p+tlDxVWuRdxfPgMKD0
Bg0ScWBqJI1dZDHz1U1R0qj1ll6SOWMUM6Mbe0izfUmQfRVEjPous4RGp5/KRO6NiEQK33LU2Kap
hfv2kEUtuQz1IGDx4PSd761eBzgoXEluUBqSPm+bGdbkma7bg1YD5yDqN/WNtsbdWVWQi4JojPVB
9yjhYqUi/XAVk00bO7ZuCQarbAqzwZmT3GMl7fkDFVZ9mTyzCDWOFUCxBIsRNdpqIC5szY6DWpeV
EJeaMlrDR8axRbhPV1RFNI5fFoDGH6MY5JFbC1znzVTcTagzQG6E8OTYPFQWCatlgGUvMPz0/Ko1
kmELxRqYb1MTWmMjH8WaV4jiri1zgLytNW8GgFasr2NfPPdRSHREhZ2uiWR4yYyQvC9NdlPjL2w2
5o0LiPrORgLU+slIt4b7gRsGvm0yfdOqOvtQN2XnBJ1tRxcd4Wx3Q0OqUzBI6PUH+r4YepVCupDI
0oZQxQb8YBOKuzJTtQAKVHXKQqFc6pk0T3rN2BHKFONnchQrX9fD8akc7GG3SF3PN6rNJuzDLGqw
r5LYfoUCcOoPdTuFG7ebYBI3GUxS0+rGeuOCNEXbiqRxOHQWHy6YaVPfLWGbfAuZXDe7lAkZTOQW
UNsyZ+0Vuzybf0JUAtkc1Be8hfCWXSfZDkBhvaGsgSMnkfaF3pncIrtxyb91i61d2+kNCLUWkJ9F
6mtZfMxTtFwRB7etrYfp52rSMeILo6o+G2qIPVo3QrkJW5k6XkJ78xjWsOSzSKVHncjRQwpqXJPN
PUDc1JLnDJ/hz6jSTDOmC1JLkBjUTXUwaPo+0D7Xs3VNkzVxaWpzaYWhQd3K4rjehASOZqtUdC6L
ddeGK/O1gmeVBIRXMsqkHVxZh1KUSeV1UN16pkVLRbvPnlLNw9eolvA4klRc5nWnf43jmPBSPJRr
tm5uY3jN+L2rVY57Ip5rcSisQbd9jvAjjHmF7ftY1FX/qebURmpqbRjql5+hna7iTONe6TNSH+tU
2SeN0D+uk3+ogmM2bBKiTK6FkOnXYXRqtgdOnttqCNEzVaEwLhi+tScSzjQskxElzYXshvprpveS
JHAahSMRrLl87vuZZ4WHknPaUNOH/DYyd4KWko5jUKajcaTNDBBuSiDd7Vfh53cTEWi4Ley4P0GL
bjnLUo70fh42igiUpkCLrC6jeABOk3+261F64DogtKlKAxhssrU75mOOi66HGg572RpCOVFUrSjE
Eut6E5Pd2UiX0hMdhlJdGfGkKeRhrVo62OSiDtp6xPmApoSbyDPJQUjNDCbWaDEMKTIvzSjS2mA9
xo5eODeJTk1tlOHyWHaQ4K/1SgPKzqkiBPvFzVsRLt1qQ5TPO0Ul68y8BlUSkmOnQch5yhF+rsmu
igNBZ8vIK5PqZRZXFsQDTtvSJPtqiQvii202XJCuMRMoB0gSKnNz9stxDovsNDshLR2yojiA1Tf5
iHba2Ejk5+6wbYe6SR4joGOktE08KgxCcAkZJcZk2VRWv42o1crDEA9K8dI1nRyJW0PBVIANapiW
3YWqzvRkVyN16ksfmKeipjfpAMhSPJgKgqchRYtMF39Efs/H/14AJV8jtru0nH23jqV4FK3Q47uf
7ValXkcG5G6uzU1dC2V9cl0sRAxNWcfpX/AcLvY3WHMqTl+U0QvPG4kQbvJ5AKmpADlzkIErnGxD
bOhsESzHYEVjGgoOltZZlVdq6qqz6Q1RB+xwtzCf4ttiyyN966tB3PoINyfvMRefjIGPt2ySCp1E
5yFbMYrwzugFkM3AQmqaGEd1GJq5QkmU9NQ4nB2iZlvDb2I9VvrKz9ARXerIsSjda5cVc4Ya2vWO
uUt6u5jhlcbmSC808RBFDYAxgqiUZpIH9YRmBrR7C+7kYqH0c8Ah5BYB0/0IrBAqutm4ZmDPi2Hu
mNwVD7UzgMhHH0N6SoUpbmMOPDsBepHimwr4cmHOosZtFlRW58b+2KI0kZuFeJ8PGJmG+Yf6/+gC
XbkR6Fv3dHKTiwoIJqFl1nCZavNcBLVRILcaXUa5tZLfpa6c7ENDCWdj3K6Bk4AxIY+h7VV0iNIB
IolpaMy+1YsaZiytJuwgi3108HtjmW+7RJkkBYKyBiP3nBDDtBZihze1L/ywcORXZQnlXG9W+LMG
dzDJhD8lZfncqoygV6g+RwOSmUZOI22qxQHlRAtBMhbZ+A3W/9pxoaLWS4/cUhJj2LrAjhaD5iCv
0RtYhbDsIYGYs9rtta6yP8NRNGlY2qEeVR4NxURwQiUF8KpwLJWQb1UM/SPiBYQPm7ZGJ+ehyoCi
Uw6ajjKI5tZVxMm72JgNdfilZGQmN5NBJIqdWflRgdaIGH0QmD5Qx9UF4gt9BiTplGTjbGylj3f4
KfhibBkRVIk6jvT3vEm9gYbZ1wXJAfdG6H4YFLy7Q7zUW0ur5c3Ml+2bbui4QYo64ruC/IjmYVpH
FwrLcPeFw+UUf7DTol2rLvJz9lQw1rEFXZ58ZYk05p0xmultBXbrEqFj9C1qNa68My0SwdnK18yW
JZEQZtXpoyPFcAOrJ+YjYK9jvmsXFaspwHzUx8K9XUPubd9Nq+mg0bRIfPzryafJMPE3iqwz96UJ
urWZWnHXhFG17fVSfbTaDkaRjZIwbvMFjX0HNwBf1nyF11NPfH3oRsxmeYnE3U1ATx4iC9AxYu8F
QWcUTpK36+aruIHTsFeX9qxvmfEwKSX+DEhGNBojS6+CYyHZ9LWNQNCIOohpYDm6S2MgIDvStdHx
VRHV9hYpQ30/SbtHN9yXfErm+fYXk4g+WF4U4NcNYaD4gh2gWBtq6jnZQF5xEZRkTRL7bOgp2ina
JTdLQQcAsHRdW0E2IpHzDbVIgqWR/EwkEMQh/ChqfzTql6mLy0APO+lNvZg/26wW40n2ZUtUUDM6
t51o+4GXE6BGFVQ5R6PQq0uSLvSTE+eZjdAnBFMNHNI9gdHUv845EdpSqbsb1Haph4pLf8KtM5RM
Cmx39hLRAfq2J5PU3mGaQUjApAUMCbfcyVl/WyM/pZoOuKS3JvGghHFNfFDfZQbNgKqYAbEV2mf4
4yBlCqQUVxUaETWwJzFzKHB1fAkN2TWEYGtpfJ+B6ppARrM/E4Zu+bEBA269btb1ZEy0oQ29Cq+c
vDAeG3QS0WYc8s9GV1SPbU94YgyE+NZGE4nUKRq55fP2c6RMEG6zTiqeQuVx2Q7Yjjr6Ll/KaFAO
LfhO0HlJZl/3Q18de9GsNDg7u6AvYO+VUHUe6BgncGHKyPpa6wvMQVPtbsd21g9ZV/W6l47OtFZr
aoH4BbbHxu46Z98B8Lb8xYUOBfbZlbtS6GN+i4sXsiDNLXh9JGd4jSGGgPIFEMxcxaj7Ju0xDmf5
6Ia9tqnJGsHSKbKgcPLwBWGw6hNZ1n90KPd3mhlqXys05I9kxcwCyC0XDtH+I64Z51Iypt/VYIs2
0hmekBj3N/WgzuHG6StV4zlYbtxIgbLUamaxYz+ANzs4nQENDnkJP30xNXr7KaXZASaOg0pTkTyz
kbFWPShObt6lMTkDnklX/1DXpcYwC61kZhjP80D3vw0yaKZN+5UNCiCazxQbH9IjJ9qqqG9bs6tM
cd2nccMq3znOqi5qG7wdjPnlnBYNswZGhtW1CdQNAcmk47YgmLNSZR8f1CEu0uWAFHvuP4aJnMSz
KM0q26eVQ6SxF5owvBXfGcGltyxeGXoUHF8oHIhdX8k2SOe0hbLRUWfChTKrVeVhmCVdzI2lS7E1
zXJyvkBc6VlUmjrLZc46JmJV+NR5KA18ZbaiCEmKiUoKQTFlPLqoGY82Dw1CdJOM5zGuq+9qowDl
8BlJIrULunoCecPMMYky9D51FK4ycO7BhjFIlJKc0HwYDafnCJMY0mpbUl+ncEx9RqkO5z5MP4lM
ryDkdQNcoclyLC1Qa2Pomq8DXC5t3vBbanJXpsqkJCMQJmZl2AN+EUSl0bFeP4lpRaqb72LAPXbz
aSAzSxcbUtwy/h1qdtuSBLZ0HJhP6dzBwvMk8YD2uP3zeO71LJmpIVoJdSWM4uRlVLka/l9ZMp3S
6VV0/t+Lql5dQONPNYghypaRcmfHJvDcfoR6hFUhSRnRvfMGXg+C1zfASB3zrsuoFMH2GhLy6xtI
gFrZIkrsb9nPN1D81GgQR5xzxykVc7Gfk9J/iubw32WMPsv/80ycOcnKcf9/76uC//7H+ov/3z/8
j1d/d5k8t4TuvPTnf+rVDxFL8te785/6p1d/E/zAzH4Yvrfz7fduyPu/J5qsf/J/+i//7Sd64Z1I
F5Ref4bV3sbVt+//dujyp/LbKwzEzx/8O7BW+5uGpUuzMHFaP2JY/gGsBdvguDgxmA9BDrH5qv/i
ORDqwk9gsrGYi6Hd+AXpYPLroPZAiEHgJv4ZVC2Dbu6VXwbNK5VlvYdxY3M/MWw+E6M0JNlCWHar
vWJ3HLSJLLojVqQHSuS4RYDY8JGR0XiZK3Wy4RD0mEdCOaiTfaVXA927Yomhp3dm8cGl43aTD+qD
gMNJmib13bYygaAsgwJZB+eQZyJL26azxJIIk7FeIyh0qd2kcmqfXKO4tKb80lCmXdjXod+3wsWF
XQgkSIPDqC95GdQhuSrWDklj1yz6Jd0DVSF4WAp92iTqcuKQcGNpnbEBdvTEnENuRMbh1WSi1PbJ
S5enmV+AiQvsyrmyDYmc36aoisoXsPKXkzbehmx0GyoQJHzZ5TAvN2Y6n9SIPwXtkE0keZprDkG4
nJ4F0VC0J54r22Jb70BmhvieiYr8FDY4l1rHQr8Gh7LqQgbRinOl9cZjNuZPtrpoWzWabkk6JA9L
u+kLMidJ8nhJ0Rl6ACLSrZGTiG4U9MOHyEZ/NY30xKdbp5SW5+gWXPzcfZ7CzN1psbmPovmUDXp1
WHIIO4iquDCq6pkiOeoxPUSZyXsLyvlUm4+xkR0jmT+1TfpULeKKmPsWNA1ZBCYfiIrppernGzPn
u5qNfsswmraEmR0XEzgdm1ixQrc5DFZcKBAOIf37tsd9o8YwyFyM0uTSnnqW8iBS1msZF090V1Fg
E5+BZI428/paNZUZHY7lZurUm14nuSReTppDKqcyqqfahqQ6ZvGLkfPHhJZcMs866Xw5e6eiU5wy
9txASHtYQrxJeW/RSEMj7GcdLzSCwmJMajJUEOmxmnH6mQ3SPSHv6Xj4ci4njzlK74dV8lTSowly
XT471XIa9Sjx0hhFatbYjwmZqE5jXLtMQzwL6Nes9/uF+cy+keP90og9+FW6WK2xj2jhbBTVwTTZ
c24bhuVk0agPponvE8epcXQZJJGgvu7KemFQIKkP2FyfXQP4H0A8am3YYpo93jftcI+W9KUAz4AS
GK4+hLV7JEYcfZK+3uachIOF7BxP05IEUibXXSsxy7jmY9WU6RbVwBVTX3vbrz/H5yTmA6D/ZFiP
id3Oe6LoGdaR0FjrSv0Fp4jr2aBQffrxIzYabrtcRqE3N6bwZrcf9409j8cGbNWBnDXngH5Tuc7i
OQ+apS6uS6WetyqsfoYfTefpSm4891r3BXKDdaEh/aXjJZkKmivomSRx+LAGop5lesLKCsmekxyG
n9RsSvJjw4dCKtbgLybtD84jiQf+9Mossy+tMROPKHPSPJBeLUbi1/0MW8ukrvNxJFkpfZQWQnwF
h9qym6tciW/KyqyCSTEf6MdGa7a4QK4qnmQ5t88lUhKeyjSmPdlsHJuceRS/FmqBgiMx/Y8brSdU
JSq5/ZdUf65oQW+6pqhBapLGKXVtC4yW723mERgWbkMgrCrIQ9O5BoM17DDOhxu0LY+2Yl1xMJ8O
4di+UFafTCs7/rkkWYVKr1dxV7dd2Bo8+ja6uzMhExkYnNLh9u5xCK222AYLpCOvEtEQXowW4c+v
9rr+EOwZ6M/Z0OANodOiR8C7+YXj4ZqwUq3ZLvcRj7pfatmRaVi8sahX33ml187sH69kGAKrJY5Y
nS7a2StNti2NNKzBXPbZk7tOB9flONWm2TO6TVcd+Cv1nerqtVT0r9eEHmGRwuau///600UGjnun
C8v9jEEK9cV4j58PZoRh7idcCPRGWPbz5dR2rG5/vrCG8fv3aMDsEbRBNYgf5w7bGlMAB2mn3HdF
a/gp4aI3c8jEjeXiRC8v26uufJ7oWW6zacQsNnY8ty6DVli/z7GFTbNcTgMwO7CJYu+6BaSOoQ10
ZzpNFsu3Y+m1lzGRaar0EgbotsD8CdbwQRVxATMUeruTo6SpKncngJx+5hxveabD8vDnT/rGLWSA
4odLRS2Nqvfsi9XzBPE8U4t9rHdb7B83oDVvioUO+Duv89YVNQmQp7SCXII3+/W36U4a/i5nvVfJ
qzqAd7+ZtQR+CmfxTWm5qd852WUfacUHCJk3dq8WH+KVUmcu0Uszsi6vpQr56RnCdEn8dccAaBru
GVdeIVfdxQ7LPc1TiH0Em+8aqcvHSOjzDvFgjY1mTk6D2na3NLofZMu2P+iJeewTB12b1Vcns0xe
wkSgFso4gLfSqXZSSV/C6geFebv0nLIQHuzjWezjGL9NBCoZELw8ZfZqeR+WG6BWyDl0frfrKF9a
kc2eDT3/nQv5xgqDptdxbbTLNu7nsy8MIEfVmIpR7pcJByblhGRlE7UO+xu135+/tPUAdbaa4Xdm
n3Kw0rnAG19/ZyAAACExo9/T8bw1u+RYkPj8zku8sbJwjIO6tv6vqztnr5HEEKtzVS33lTvW2y6R
umeGy/O60icMs3d9Gx4z3dy7in5FbzIO7JJOpww/dWn61bGg1erF2CL+So39mLKJo8ti3jtjntSi
l5WiFdhhku1zw1o2qQDSPahLd0HIasCM6aPT84/xZJNIMHPozQV1Cyig3mtcmAF6q5M8Ta7MbpAE
KKh68iJKbsEmyS5HgpEzEc2eY5E9P2sYtYVW02uPEwgk/S2N/ZjGzHJ654K98cTyXaCWpQvNmfec
pFnqqEmruSj3Ws5BYYyLxEswY290JeMzx1yBhHLLz2fnqhAWFu2OWDYQHvRKuJfDrAwUq8RBHa7m
IUur/CFWH4G50rdRbSiXI1SDwWb4GYqr1cXvk+ujYOKbKpyL8wNsleelw2diJ3coVqiqmFV4rSJ3
Waw+zBRim5omHlKbaefW022EXGyTttyfJiHStIdHDKaKidY8BMKii+UBUcV4+eeL9MZDwp6x/gfz
K6c3/fWNO0WNjQZyLPeTU/qUOBIPDm/HVAdGJdE73wia79+fE4ddmGUNUo3z2zOJJx3RuTmU+1Yn
9EIDze/TWTqG7FTMpBNsqdySy8wBadRZptKUCjDKL+lLMjipYCJXpVuDuBqbwLWWAg8Pg5Zydr52
mXahjM41ZtTOi12qfVlWBta17pn21a3MgSPZ62bMbRYZ2VM4rVUquVrpol6SOIEoooJFk/QBMGBn
Swro1Y/j5WJKw08Ef9Bts6OlrE1IQv+2dTjQAl9okElA/z8OQWEJxgaQdXUsh+k+6TlIOlk0eEvD
UU8sEwrPiOYlEXSuMd4TqXFD2/BoGFRrmj34SZnN/voXChE/m5BpJnkYw7jVTNIT1seok+Kqsqd7
HPIcIEjP5XmqFS9vqJZgC9CFzBAT1fzpVhGPTQoDABhUc+EK+dz2OAoHLjABFZdAWgvPlZTiQP4e
03i8ZSJgefgEcO0WR2VMj0vBtLWNeID7Pj9yKN6RWViSjDVyY/J0WFN/mWviS9xN5THTxBXRFCRi
tbO3HoxocGI7b9rqBKDjKu/NR72lq/3OnfvG402tAy4faBZ31Dm2JJ+NtNFNUew7e34uu/G2U9n3
Ro5ZoeCxXuuvH0ftCgf+FjkT++H6zJdxv52nbsJczY9BivKzvkwDgrpoYmLn8vM+YhqkO2XgymHe
51oHEjvJwK5HZhI0ZR49Q+RyL+uWAd4SsS/2S+xewGSgyreNK11hjUn7+QGhJ8qjFviDpSaDJyMG
3pg5roaIgyH7YWxUfCG41w52Otz3Iytoq/e3rcOR1B0I0h6GW1Os6S85wNukzQy/gYKASuseJLjj
F8iONqKan62OARRKp1uIW+keX/PVyCbCIXO4N4jTWav53v77/vpPddj+N82zVy22/65V9/9hhw1C
zmqA+geCZe3h/dWbu3oqvv/nv2/Jn0y+YSX52bBb06D++pm/Zyarf+NXqFiJOP/owl6Dkf/KTHbs
vzH2gy/GaUXDAvRLe83Q/qbSQQM4whsAnmFQAGCL6OP//Hfd/JvQ6dThRQE+olvuP9ViOy80XItj
ErUulkr+Eq/d6z0hmqS6OHU17HVUcT0Jpi5WZ3TkZDAN+J83CJ7Ki8wCHOC7MYX7L9fqXVyNECrH
TXiwXB8KYDiPZ+UvepMF+4Dsd9Ogj4zWCwujup77M+aMd6q2sxXk50u5Dl4rm14iZrPXH5RUnlHT
CtHvTI0FK9epTIyO7AmOWc2/8Km4lK5h4RmyfvOXLRqmxdk0ewwYMtmRi9v4rMkZ43n7PfLh2Wnw
x6eiGFVxXnFT/HZ+kCM1Ti64gG4SEndKnASiButFjpYflWHqkZCMVSwMyQFg6v4e/ub1Bv/Xi1N3
r3cx7d6zoyg59gis6r6np29amzXCOigRSfxzPi9eBd4YcGDUwBbThPMDbxc5Rjc24YC427Twm+ol
ZYCQjT0G6Rr48s6Hej0+WW9JAUDKUckYwj1mnY9PBHlIRqz1ww4bMWVz1n7HIvkCmLzY4FI8Wegl
3jm78Cj/ep748Yo6RT5ne41D53m/Iowz8nww6exSVQgPt3/Ol+VWwZ8ftbPi7+ermJi2HFuF7mqs
z8cvXRG6o6jpSSXYGckIL01RLjgtXs+azglOpY3951d76yrqv7za2a3BxAA/AdCrnYNwj/xzRu5j
QQ1MJtumct0e1H/29c8vqZ/Vmz8+4UpwZewEgYBz0+tPOMd4g9Dw4HaJLRN+vJk/RPgTDoi+nD0e
pswfmlt7nB2vyc3um9WTiYsObj9EbYU43x3RalK9tZNdP0tJtMEMQnmjh31zt9qNEPlFhL42yzsL
k/bG98+Iw1Y1yLOQJ8/vOKeLLL3qeYySiZnuxlSmzN5IKcYA08pqdcccgstr8g2uXqDn0vyiolW5
QVJDMAwJwF5UR+41w8DonWdBvPnWWJ/XJ5zC6/yom7owHxekWTsa6wgkYuETt4m61LH6ACBP9xES
Bzpo0uHJT86X8oiZr73oQkZ+JFb3I1KkcpOZHSo/BvkbQ2NyEpYOFFidkUA06O0VuRTKYck4RzUo
TXymweCs8D08DFOiEF7jhHSoE6A8Jh1/4GdEQButQ7CKPPZZC3hRIR2IEp6k2xwMoZl9HCanuyLZ
3djMxpJtW2NAC6P01xUppPsm4TQ3m3QzZJiHFwSYrOkuzbhLS4rsUMwv2Wzc9oyKkcVE2R7WdH/N
by63f75bf39AYF9QGPDU4/K0zwdbyAHFIKb1S+/iKyUjUjVx1IOWyPthCetgGDCO/QuvSGOd9p1A
u3OO3XaxkaGNzfpdG4YohMwg16JntzQvWqM0ERpbj39+vd83XEfQ9LXxlq327vMeWheRpsp30+/S
Ga23PprTIULqFDicHN7ZcH+/TTle4h2HPMKQ8DcKcUTUczqNFbsg0oQTAdvaoZoG+50L+OargJin
TIEOzjV8vb7gUFcK0ufY7tA1tAiDXWUPYce5+fN1Oz83s47xaRws1FSLqKzOWxlZoiyaVbvdTkr6
EJXWMTShCepbHUQzM+wAbhnc+KptRMfW+dTq0a4ys+S9ZemsNfnjbVDC4J0EBsCk96yl1jQVxpXR
xjkpczuYGjffkm7Tb82J/qBngJ8+aCXy/VatvufVZN+CxJ92kVDHSwDFxhE+77v0yjffE0wCB1mL
S816tq1EpqKghTK6HSqj8qC2InDVAdV62TdXYVeTz4fB5vOP8zJ4jPl6WCUboMRxzTuE9dAk+w7f
ZbzKHOkvy/RlSBFBNMyt7mbYWJu6T8ReACY6ljM+HLV/r7jQ3/wAkHshKxjMyI11D/tlF8ax5haz
M3FRGXdGrV3DCDajjzGrGD4FO/VJ4VJJYLZ6dqy2OAKkfnIS+x7Mh3sY6jD0EFgS56VW7oeKlJB7
x1y+LwSnHg0iN7dTHc3+lKUKe0WfQwNDk/fO3bl+7b90P3/eFr98grOnYOqRzEbV3O1m4hSP4eKW
qLskPRVF9fuEphq4KdxsqXowKmZiXY0w889v4XwM8ddbcFR6AQAc7HMwhzOzlsxi6FbjQo8km9DD
r5RVN7ZJ6y931W9VPspPNkTk527lFI2RhwGS0FS0Y5sx6rY6kTtM5Ux7dZJNBKDpQ+3FvOBOCjSS
Zhpp3+dS01gq7TvSsAMB5dK3FPcTOmMcbqNQLxSh5fulqp7sUb2zZl4Ik83g1ZPbiXeu+e+lG0Ms
FZosFcKKpD675AIzPtpqFoQmzT+VIW6qNPeVBWcFA3LjnTrxjWXbogbm5AlGlFrx7JzUYWAuWxad
3Q/ZAdR7du0x3Zhycd95pfU3nd1JvNI6rDNNC6by2cOMCHVADyq4k9roHkNH9AnKJY7lYuY0ARAX
K45qKc4RBPB7k6w3dl8LN/RKOGFjovB+/Rj2UdJgR8EVPtjz57B3bqTdrPzIl9zuv3Lktd7ZoH7U
nr99VkGkg4aUDL7L2VeIuL6jB8ctyzG8vB0M6p45NPy5JLEMvOx3NUS4lOTSj+aa4sZ06JZ3Ueuv
vec/Pz1v3kyCfCukWfiIz7dl8gFHgfGt2xHP1/tqTe/IjBEuK0kVeSJOX/78cm9smmR5EPoC3YS5
4fmKzQgriwrY37t5buUuqrXQW0DevXNGfPP6anQyuJO4vOb5vCTttKjCl97tOCOD5BslcvsSZZ4V
Osph6nCyRSMSeACSeTCFtETpBjCsH5XTgkT4nef190M58sA14YTmt+2I8+d1mgexAEHhzYx46OPI
jrZdu+DPnCMGZBhcapIad7Hd66TJDOo7j5X21hNMNcTFpm6n6Xp2r/X0bXXC11qyTs34a23TIUaW
GvXXXaKJYgONFZcybjkVQxqplxTUVpMLX01r+ARFY8eZNwG8vBxjA3GE3veD5oEo6L79+c54422C
pITq9AOn/psoIFacZBal1exQfLTbwVzGwOwaN6CWT965JG+8FDkFpu0CcVF/x5UkqdbVTWs3u34J
ixfmEvaHhWxNbFmW+i98LGpQpAfW2lL7bVWry3rpa8dsdkJP2g+YtK1tNa/xvm1PF/EfjcY3mmdv
LGK8Em0RSkQ0l+fnRn0Jo7QaeKXEUCM/7Mv6roigZLC7LRvcpebGrEAQ/PlF37yUnK9NgFio/M5h
TVGk4jaPRbObUe17haDTnKSF7req3r3zUugFf98hqDRUAtxdCOysWK+XaQeX1BAtGrcIwmNQ9/MM
WCGJzWmBLByWuYd9QfctavIcxfc4KVtOjoMMFvglxYfCETxcDEAW9xB2c/6g12Me+y3AVLAHOba/
DSOT+In0JeUyMxxSoaI4Z5rUgV3F1sRHMjzbqhzHd0eBwArQIRELQondXTK39hKA4cLAFmWxdo/Z
j1Ty3ETrt4WGK63AwGulPzLhT4rvFuwaPdpgbrTikyRYKFzF8W38scsrbT7kGFrw/SdaAddNrbVj
sUip7LohG7srUZSDc2lijwo/WJ2Wl1v+Xpm2xYSBX24GE22gX2ajGV0iJBC2P+CvhAYpmvxuRAgQ
HttSqfawucm1m6NWJ4wyTh4KLCmYhwazSg/A7KLacwagkts5S+YoKABgtBfpOlrAwMzEMt913eRm
PuLnWeKzmEP1RABkqNJ3KGrdrwuxFlcJ9PknG3f/vLHDXnqLAznyrhaJYu+gwqTzDQHK4x025bYP
8Jm79i2Ybgeb7DxGw4EiVm4bR7rJ1sQYAPmijpbFA2Dh7tZE1yrIw7X9B8LGZd7cCecjUvfck3lR
EfiJo1uDiFWLfeEMH+jzbodR1J8wleaPueKotz3M1U1YpHKvEBMdGI17PeQzYWDdVsZ2eQvSYzOC
XA6ypUx2uplN8LOyYhsN49EY58nT6+4pzWA8ikEP/SEl8xT33jcTXWgw4mhZDZf2zsKDG7hmYu1M
dyF4esIKBqg7OnVmLb/afTP5sLzSTWmPT0tjMYozJFNQST54kj+AvAkseI43wi3aAMRCcpPB/PIG
NdFOTpHHl8bE98FpAWNbEj5IxDQ7oWiEy5KhF88yPISumXkyzQaKis72iK0i/bezlw8o7g9NbzIN
X3A2JEt2jfPRkySFHjMpIQypGciGHgppinHVy+wMYpMR43hOnJvQMW8LJZaBNjnxdlnaxZuVfvBD
HVP4Qul6i2W+/lI6nXpRxrbjz31j+VLt2xdLaUpP6cfad2hY7+yqEqtEdNnYgFAPIH31A9hXJ6BJ
cdQ1uUWzrm0zMT8W6tA8lkm4t4V5Bzj3UciwDCbVpVE3hI8FdtuWJ7BwDuNgl9tRgTcDHu0+c53w
2IUI8YD7OoGamgrfQ7Og0HIxO3FuuAUjPN40UYu/Z5Dsi0Z3gUXW3uQSQNOsQIlppnrvGH2yBzdZ
7MvCGV/MDicQhB6cuX42Jv0yewO6RmjfGyrNNgKQnrgwKKr/Yu/MmiNF0iz6iyhzdngl9pBCoS21
vWBaUuzg4OAsv35OZFV3VXfNWFu/j1lZWS2ZkjIAx/1+954L1jeyuHmeK2bk09pvOUfwMmWRyJNh
fJV89jeQ7DPkkRgbT2GSvsD5azR9Q75sCa74B/qyeSCoibbcWV0H85iM6pUgrq+Ix1oxiM71oqzu
1TDtrcgTMlIGRj658w2r+Zz8pZB7uyitYV0Fl6Dp3JgUtRuGhwex8ANCQuWsXeOIPCsosW3abN91
fFJRX9Tlegkq/Zii6t9Sk2w9xlVdZIcRAPjGDbP2xhytYNtkesTf3CLGpZkS4JVi9pPou3LjL6K8
krxkP3t8JN6mnEn35aNLO/lEr8uDo4v4O0TcH1bsAioO37EWa+wA0w/mTNV3JzuPwoZKmW+AzDqS
aNI9h/g8LrGnca3gb+96diyPwezkr1rxdWajnDZEh9rjcincyKbaOVhE2p5R4RiD5HTjbns9cCek
uFdeIKu3n610im0xGe2L35LQg6DSU+My9cU2I6D47DYtwS6/Gce1F7sVPoJF8XCUluGuCuEU68Tz
3FXOhuswtG4B32OyNpxKw44KaVNXezLf/PqeYfpTG4/JsgnczKQNIBnjDCYCkdIVvc32QYKYutyD
xnhM6Al4EFVaRo3fDdYWHKI0nmrasMkdyyJMrxJr4Uf1Cv2krWkYT0DSk3MWtMGaJrLl1PQgRpzU
4avaMoN8lXkPusdUErETaY+eTNNzPir5hnRnbRDO3HPS8ajC16qW7TJMxZYaAtJLRD2Sc1lKDdvb
Td0zD1HLQ8XVRYRvj0UVgqdMU/nR6aQj09qZjyrj885wpBG8rak4hna9NzpnJhdntXfS7S7diZww
ScovkibnNs92fLLZ3p0qvqwx0IiMH/oozTy8XrSSH/0suxed8rkuYNkxuibY8BZKjSA1AIk4QieY
d0PY09A7KvfsLK2ByboJk/OUXeBJowch+IvWQScgSmlhfwBwPkK8uTZ5Lcs1/I5kZcAXY+Zfp3nN
CjXECguiMB+lObtneILxD+mlyY3nDs2bl3jFuscPjr+crKwZ6YBNpDvY1iaBh36c4QmtE2PQVx0O
4T1BnekHPWOsi0mc7W3J75bCSM5D2GKySgNw+VEtAiYWdlseqDcisNvj1srXWTHGx7Tq+QWxDoMI
RFjZr/NFNkO08JwjY9XqeZ4RrYkRqS8/wRMdU5N9MLv+cpcP8LqYuVjuAzAq/eQ0/QAGrOGHLF1R
3MNGlu92nnoPRri0wNbqMT1DZ65pZXfq7qVsl+k28NTwJORU3GeXy211cXDt5ia0TkfzjQpj3lL4
KOCVGE16duDHPAb4tW8F5U7fYmmynTE5LpCSLojvrSp3Dq1I62vPHvmKzVLcs2WffoSCicwyasc4
4idR6caAnvXtUxVHXnhI4yZCb1EAwzxjrFee0fg1K/mCgTQzvPjeSTlyRZK41nwgD4IlNR24kxaj
7Vh6PYc7jTUrPZdF3pgg6Jbm1gARQeh+LrnWgnoJuEp2E9QrAHLfTWBwZtKiIi9bje230eTmk5PI
ca1HZf70dD4MKx699o7VYvlurFzSNWDhgSOG4Q4/aQ5YXK6Zz70vJR+Lx5tc7cRYmF1EzZP5uFil
cR/2gtXM9/TPSQbtHR0TCP+tJW96PctXEATtndkHyRkGKA09ISGMTAX2gXUsJDUS8HwDuumf2yyr
xV1nYAXVHCgr99DMDR8etNETZ+J4i8OsYxGj5gjdtLep6Ijt4G1RQX8TVzLZafiHe8eruDS8Nq/t
zimGyPWT7JYohNzK2lE/4DAASlnS7z5p+E9KSrmOtbQ/3DAh1yfLZQXFClSJDQzH1ba3M/m8Iiaa
Dp6bjuewB1NzT3XDdMsmhMCuk8dPVpk4q9JoHkhanzSORGaRIuMsA2RlHMIczG9wJJWIl7iSHd+2
8M5irMyb1K9YN+yF8brIjNPkgcioZzd+8GJiJvidhoRFt1ois2bY2JquOAB7O+p5JorBs3ki39Jd
0y5cH5O0hiUICn87hYz/kFDfQey1B5pXpvui0fYX+fRjmwmTJS3gb7ZqNzUR8NXUO1fTlDvP7Lcx
e0Gj/6DmgTlT00OpM6xDGzc+07KUDanOm/k5oKjsXtQpDe6T3HtN2a7D0ciSKGubPbHvd/S/6hUe
zgLMk3wQCwxcvdzjhLPy59lJL7wLdSgMAUEoNsS5qBzcocPA4MscyDLP43jrBAWsgDxXD0NreCx1
YXI/gEONBjf2bwcR1hHC9EzEPnbewyz0njzVl4RF/KcpF9UOuRSrk2ArR8B2Br6Vjekpo093RZX4
IbYX8yMV8biFnSJ2lLlQQpMN9nrUPIxUnfSAIJAKk3n2rthcOM+54xLSnZotjxMLcJNzOk28NtwR
Bwy/AZxYz5N06HGtwgXXQuU8wqjIVxN72K3L2nVVxap8Ml3fv5spj9q6Wk30g7AvJDTVUXAACPbn
wqjJIinVZzeY4eKHDOdWRnK3hnMn5UzOp4IlNUlS1wwQonDB24edkw29kwCIm3GtJmO97wuImZHr
GNfNnE93i7Ce+8yotjyKBEeXnI2a67Ih84ebynHjH2XRsM1w8LuzBJLQCPrsPhDdsoY0E1ypObvQ
DtJN6pZFBE7JPVfSBeycjqHJ0KJcDvPc6JPnGrx2qsAoeOC8+iiTCVJUbqcNvrWFViFQ+RxLgZXy
GDFD0ydSzPlLZTnejlbOmlfO1PDGIu/SAYg2ptsQgsr1jJjNqc7HzxYNVPgdSQqJe9d3jl3uT/tY
9ysNvv9Ehqm5UvUIpcBpSoajF+PcqPprdF86elS+p+4lfAmZmXLOee+aelhVqbvApwZTlPt1Sv5N
9+bLNDvdobH8D3PxflL23b6xYy3fSpLkLFrK+EGThbG19ZBsen+o7iiqCnDkdiZD77BfqCLCIst2
aNpT96CzI2DH0YFiJ5S/9wtMpiwaXnM24IUlGEH95ox809DkEOQJ0HkKABbuUTenEiCv76w2qO68
DB0Zgg4LKB0t/VepLPFRqzz9Ih8PC8Yy+IItLoCj2+XNw+yQRXjp2PFw3WhP2VapB71HG559KCXm
zyWkHYC3JdrZUpogQRMEyUNDTfIj+2NOpkWVOsekmNRXVTT9lxoUIoKah+q7wEwPr50ozptQufkB
95o3PSmx6Va1U/xmFdB7cHlTM7aSS6y+DFcaVWQtVCltlsKtH8p2YmFQ6TQ2Wz+ham7rhCOKxjCl
3B7QuNjgNHXZPKTeUADCBNv05pouvyeUU9lhVA6BeTi14DaqbZA8a634KTc5bnf6cHBp+Rxi6KUg
wObU6ipb3J5zo6i1ma5GOWbJls0rX3kBkNMcnBH5cZ068Ox3hLHZAvRMSEkbTVV4nafCod+hq9i0
lrHHVTJg9XugaYf4TXeasHYykN+P4sStvq1h4LsOrT2DdiMN+vb7h+lqI4EXwXgSt7C6lHD45kK1
FeeJZkfHfbKCtKuIef4SBSjwqx8I41n1rsxy5B6cBRkHTFCTe2miAp2t1p2wh9ISczWDNnhwRxwV
XELmrasxbvnzFb6LHtJJUeRXCheD3lUzxo9TqHv9rT200WiwXJmePMMErDBra0dPff1cmSFtDX7Y
wkmUgXgcU6lmquUcMz47A3/ovaUFtwe7cn7qrI65eN481QbzP3D2K64Jzy7aP1EWdBk+RU1UvGeR
sNRXxukFFP/IjnhWWv3McpWXu3DoWgYYYZXl8B0zkF3UdSMAjFzOZV+j/x1HGscB9Tc9Ozo3dWR+
EF6HiAJ1sMxZXLJLNLJ2OHDzEub9taqGCzSmBslDiexCa9Y51Tag2csWsvRrCxs03sAfJhzPTVs2
4shMutuP1WDfVUkwXeNlyp6AtY0/RsvRv8vq/+9B/Q8pb5sbFxn2n9Lw3zyojz+nd/VXB+ofv+MP
B2po/+aK0GJgfjGaMHdmRvOHAxW32cWCajHmI2aCNscg7I+At+39hjGF/3VxJDErC5Gf/+FAdX8L
bDZugSPwbZLL9v6bkLdJq/W/6rys3C4LKy3rF/sbE7nLQOUvU3GYEoZum0bQoQEaQxsMZlU5f/7C
Yyym0W5Sw1TRRM7m3h+Dk1JSv7AJbx9kQ22G6NRxmNnzt8D/Tr/AGczWvHinmzy9pUfGeB98n8o3
VqF27wQxYVjXtRJ1W/sUm9w5TlZYVWTUNJ8coL8G1g3pXNEgzrYWNC2jWBp7J4teylMgO+HjeEL2
mKaoYFlAZsdemTvoYYlgAy5HKv5+UE7IVJzFpyrNYxpOHshaKw77jc+6qLYpj5E89k6SAXrEecTo
mSLZeQ43GQkG8+g3s/XkzIlqSUgQ7aSCx4mnYIdHfnYPQwYcNqasKPPzx3g22M9GMCY1AO/Gbd7z
OqY/3ssTf71YamK3CqVTaILZyqfuCsN+LuHS4YHbUTNhXQVQptVq8BAW4txc9AqoEFq4FnmuaXzI
Z7INTb6v2Pi/TnXWV+CA7H6fw3pCiAvcV0QkJ8J9lqKTZQ8JggEXa8ip2aqbfW6NTxCl7V3ej3lk
UlC9L8YEcQzebfoMEnJMNrPODn4wndDTr9JxGJ5VUtWrobzgc3i3RbUOoWkn3mc/xRfdb3ylJYYw
L+JJMdmAfIonnLCoRaGZHxmYfCRZ023suBgelmBQEbgq9rV8pCTEwA/6ctzBwfC3Aa8KHJP3esme
QG5+N2XWXy2qIYtTJDdL2gLDHPrXplLHSjf1vqCle+1n9npaYBCrWXpXUlJxSkHPbZrQKlhYxROH
+2wNALYBbKl/elntnSpviW/HsPEiBXYjChEYIsUMgLqpYudox4ymRZ8tmp1oVgM2kwDuXjmjTq+B
QHWnoB+tDfqnoK2KhsB64nAJXSTlnUh3YYZ1eldpN/sI0nYCEz3PG9m6xn1yoYPVefIztuPm7Br9
g9tn0wMNROVOyArVAUL3vi48j02j4KTQzADqa3fY9oGLcuZBIOw6K9zSaeYwGjbCnfbGn41bVPQ/
QhmIWTsiUi+XXe6UfTQ2DmPt1tUmSdAWQc6qddPYFfOUfl65C4cRzEHlxjRUFgXW9Gi6eAK7sngy
yviwLDXtYMzpIrc3nl3mC5T6TvkxbQEtGOTxv+3B7d6GxV/lJmmhYsQriTEYLZ5aDMBCnCSuPK/n
iR9gUa0xKBmgAjzSpxq3lYuYFjAm63KNZAtZ19hbhRjuZ1OP/kPpFPIWs0JVczYmXy+Zr25JbICA
82NfrUxQtI8A0PtVL8wl2WX4SUj+JF21AkLAd+PGKpaIoNHnULb2SsRa35J4Nldac1tghSvNKJim
+Qu9UYhN4jvzceizmuTwOI/hrufWmkApeRd2Jz8tfdhq7L/pkR2xzsLFxwI2DOk3qKiQZ20ML0q2
aOV4g5lMvSqAPNq6tMItW1RHcZXWYQU9IsDW0hrWTlhEwduC8MmcA/GjT+cdrIWFAJkYG5cdeWTL
Bf63bO1NHC4MF9Cq2FcvL5PphE9+Bn6qzI13HqlntEf8m5x8NlXbw7VtnRu2A8W6K638qjaAiqoA
RKolmTHBgaKIlPHPCdMfs5lqWOw1qTviUFX8o4XXiRQa2uG1dMrmaIY9oXVbX+shk/dsA40HvKP+
u1W52Topwna1VGEH3pAjO+VLk2Vt4qaetnM5C2Cfc8PsuAc5hpf2plSQifk69bYxxLzrLk8tyWLv
rlq0vY3ZCIJ3KNOdX+rbMiXrk81qP5oitaggRNprgyWICDfXd1TAvNYDeSmHnqtPsmx3QPLTMQLG
BbIv6F+8OSecJoSxsWx9cEpQu8WAA4z+K9mTlXVA6hu9cYUtIN0GejDXNSVQG9lMjBkQ7an8NFkP
gvkmowjovBg46OYsZDw0Dz5RscmCHpnzaGFT2vTMEXfQI6ZIIMCvwpzeCGky67/MQZhVnMKBVYuI
6AzzgspFQXfuoS/gJnmQ36LEHO8HAPxRETRwCR3Q3PzZQpARE3v4NjxAb7wc9CeBXhRWnzMNCxth
kPwcTMNYI8C067wCJRKRTVePYZaHazsgzNY6ZbhWfXsIjRD2lSG/cej/gPDVbBYSyVuhZLYa53AB
oAb1IK2ndIvJdToaRfuli+VU9vFwZU6YfpYRzBqNpPWZfKy4pomv2dRizrdj1ovDgitwb+A8hR9V
01tbkzoOEg55RsCfeSjykuhrwXrXemCDxcxu1jdBaPZvFq1vVy4eusica5om7XEmEZub19wDaqcy
5JWxKL4Hrwy3k1zeEvhUEPhC1rIcaekUN2ZsRZppNy/+5KOS5riiVKK7jQsrXjF6VDejQ3VQWloy
8kTyyln0W4btT6fPyi0pjYkRn/NcwcBeVYVqn8qAL7V0TodyOfXf3eAQOFQwYNBL0evUmN5yNsjv
QquRBxFYyzVNgnwMfvE2VLFYs5jCzGcG8xzMDS+M3n7IMg9+aTIRLp0AvAxeVn5YNWJHBTPiMDgV
XaXaB/YeGvWWcF91TUx03NCi6ay0PX8oiGfEMT2ccSE/wwh6dCPCNnhSwloYQypae+uFKEiE0xKl
bywkP77ui/yVx77oT/1YB4+tf/GZ2ADsmdEdPOS+FSG65G5Q5XjrUi716ufeg4uuRetkcnOpo9vb
Q5DY8DRyCdQg5oNOGfT/CN1iXE2ux9moDzbOEtOAQSE72LtBjzOFKLDwMk9Tu5s01pdbT7W7nrnO
kSXN5qzNpd8L3AB7f3KDt7FQ4nUQ0yflTv15EbaRb7RO9T6XvX12K09vzAWYNyurxLvupjP8Eh1e
GtKohZKium+BXt3DdFACyqw22GJYEgS2o8pv1dkB83SVJ1xTUBENAlvn7aQ0XR6ZmjT9vlPhMqxg
HnvrObEf8KYy0OnFNWmU/EV5IcpEgjQ/pvECXIG0QZvYX6WngER7mfVpJrlRrRYHEjNurWE6yLFh
FJIVaT6sJ8byn6IMyjXTAfUALbM9xCyeuHgMzoq1d7t49RV6ZO+vNa+DaU+gMOd29rT/FSd+RS+p
8s9h72bPrqS/2KRFbk1NbblhZAeEiOJTiH6A4Zmw2c19ZztdBh5cqJupgL9PKrVxI7+XQ7JeYBlW
az2p+VwHWblLTNopY3/styYojQ2tZooAu2fscpdsI4PsMntmNSueecUNLyWRtIci7+O9yP3sINyR
HW/cese21gYYFUwHANOBMT0lVgZug9LhCkEv7Y6E4XkgUmT2jczK8Gi1nV6lgPeLaHJqufZ0QgOv
UN1dT+bsWQQLddEEfPeBasKrJs/7s5PQ1tDYblfw/DU51ZFMsJHUOVezuyKV3fXwuzk+qPExMVlh
afBwqD1ZQmljpCvlrDdZzvNwFQYOxXkBmLcfYxws3ktSGNmy1sHEmzXAtcGD2E19NHfelGycwvFu
6HhOX7U/egableGBPAVyCGhK41TWU/YaV6QQGL+A5scfUh6g/Ip1jvYFeNYpjCBS1Vg9i3iK7zS/
dD9VLK/Qsx7Gir2xqtvho65wQRupj6O8X5IrULckR2vd9lFf6eqRzCzBfuFbuzGoimtoeO12rnq4
mgkmC2kspYqY4Lnb0azHu9JxkeldLFVRjsa40bk5XFf1MiAi5fV+AKd6a0nwhPeBn3fNmYKuyV2H
ySRar0CX9Cw2C5VMw1kF0TBYeCu+2G5mAdp94bej89D0zNqoOxjmJvCBzOZhWoUIHLMG8k4NwQpx
0tyUiwThT5iPdRQUChoY1pZ9n3rusxVccDkL7hZ/3xU8ix9QzuK1MPI4uc40tYERt3CXb6wgYcJr
DRr+iOGPrD409Fzr3pD7QYXm/dT2nAXM1rj4HPAW9rNxBKUqDx335Hro7exa5m5GY9Xgf1dd43z+
DgDusq7Pd4w2H1VB6fcrPnvEU2S7U8/zCL1jWVyM/UHwswlksveGii242acGrvTOf1pyjCSZx+q8
oYu22CpLLe+CjfXVCGKcMXRJSlyKHd7H4fgLLCxlJl9Shrf342i6x0VmaNxMCdZuatpQfdMKcv9F
qPzFGRYtLkUK4M1Vh/x549DvsL5kAX4odpGbfprC1VKb+Qbf5mVz3s6bycK4M5T+wZC1XlOro+9x
04bbjuKnd9eZnH1V0MUQF6xMZUPvvZ816S5LbAjzjctwKau8Czg0HT/K0NAEMZ2zPaUhwOTujN5G
XVIPyVha1rxvTQYkxUD1CtYltE3ysuOG+wbeczi5m3YuON9wU1I/m2fQrEADb8CopJxGjOJNsacn
a+ZXeyPDakuqCq7W6NUBVIxerQxhzDi9bXvbULke1aFvnH8RkoFa7xmBl6epYPjoJrWNwQR/Pg6G
NP0ppeec4piGdCqGqRlpDJ5ddTFSyXw1l1TOLF1JEQagLV4643yX9iK80VNSUGmVefvCy1wyXHi3
ka6bI1Ol2wCjRaSUmprVwPBJ+XVOkyzyLBu7NrgpGGKupkoUG7OMHWDzof2awOtjsqOQ6aosrV4h
zb62NJEAfwp2DiIndQhSfzGRUvsA8txhrhiXmxw8cXu6OFimOilXc2GjPviJt/aW8h1ob7rRXK3I
qqcXRMwrDBLreWm/6rx8URfuM1YS0WyGvi6aaLLtDY0SFnWzYXyEeOa+F2qKoyoRiKkIuWJl1BMm
qw6VfEicqb1uvLzmbiHAYorCX1mdk12XsNBv0R+o0xmcidpjLYW+UT377VxoSmsu8s8UKHkIW7y7
jIiXfUI1w8+x5oiW97neV3jjCHi11l3e+ygCEstJOvVHRoT0AQaFf0TXwvIzy0MgPco0YIIcLb/S
d78I1XjBPzivsRWba8AFzpJXh3qQusAyrOZn3V8GxHo82aDIn9hKPWYGHfF+1/tXKVPsFaI8G8cm
PcTj0ioGz0YHCX54C80WZB8ptDS3nujnBVavHWcrvS5YjWQYn9PJrCL7UpQcikADy4ndRwo2XfgR
hQW3Nr3OjPoVZrLazyp96Dzzm3gs+z+6TKI6kTW9qNYrYVUMK7p2vhS9yWuRQGZibvA0Mf/9lhJe
+zahvrKPUD3YfE9yAJPqVffB3EPwbZLcXONXRZMXuA2jSWugZ+E83rcmU3IQBnGM7NSP49ZVsGDY
/FcmZ5zJ3RXkw+9rFixinbbbePzxmItd2qt7gyeh2nii6I4gz6MRLOvEUSdec6mkfyrAVZw1ns6E
YnWjYcRRZGZEoVdZb3QAg2EziFTeAKwMDvwD/6uog28rse6dvGHxCLL0GCLRH2eXlytNEJ9xIYd2
V4Dd3UzeQAMz1G2Q8tORmQMdLsJ86nglrUrzEhexLlqgrBPwcWTEMCYTU3Th+dKk5l7QK87qd5w4
7TZ6BH077H3dviXBcgTVJFZlJsWhSIwTyGX2OqXbbvLWx7Ciexyi/6COSxf5rw2FWjEWarE4QfCJ
yUZ3ib4Lc/Ulqow7Hrww4In6rnUkHs5q9qnYwYTtG/9gkvtYHM5o6c+Z6agr5iv4VTosmUlp4yAX
MtlkTWXup5zDWecO6lDDHUG5oGVDFO7Xn9zyPB6zVdrMb0UCa93qZ3vrFx3QzN7+iF1tPowB9iVv
mscOJhc4cxc3wQNrnxXhcIJVLdrh2LWIUYISPzM2nBPIagOdhcpvMmAUaodejU21VKsYQj6QumwM
h40Pu4qKIZEWx5b3o4kfcovDVL4rkxKQCxSrWhfGsnwWVhpPK3MujPfGq7qzL0pjn/PC6yJaaqd9
QPPstV9wRCJ0mKfrKSP9xnh8g61g/mCfxaOVyOods3dw/oVUB9gyfBqZ9/07Vj1MDXVskaHvlok6
KzfzcZL8iVa3oIsvNxfEFSOUP9HqYW9LomKQ937nq3sF1HdpZTiYsFDKbSYheThEA2/MrHP176T1
LNaPc+L+YIfg/g5bT9q53/MczBssy1Ciw+BpDDxW+LS2HhIK1la0y5wDU8XvFVOhVV7FAWVIFwR7
ySHduBotNjXXvzjsba/pWGJiOm1/wdi7PPOGo1Oz/kSEmmW++xuXvag8M6o53LC9GxvpXmzN3VMn
nfaKOp5AR2mDeR4GFBrfLHPwiqwLr14z0Rs5Zq54pNDF9NYBVbPPA27riMc4/jvJ3efuaVdCjgAd
2jq7XnCJdGteWGGELzthxzQzWzatnig4DiV2Qqwyr39BvBdD3u8ZgjGbMv7kvCdGqaG82dODO8ge
8UkUEmLkLAKuhBE+lZZKvlxmoMkaj1UyrdHU5vsZ3nmxsnnQ/oC++4qD92TximYL+lfyOyOCuxmP
T7QoTxxl4fW0ygxkGTMcONT3WM859fDT2nVYsJfONRnYNiZVcH+y4VnLmtuSVoTn3/nwVNEOUbWE
wanDIvtcSEPciGqcd5YE0cThVdl3uJf9+/+VHI9jUj9Ylo0YOlkDT2lTs6xGlRvUFnvGFD/u3wDy
dgcI6QaFn1aQvwHkO1nRldR3Sb6eCnW7JMoBQ0nr1MZGhnokTp4cc4elsi6xXf2Cy0PQZqO2eD3s
GQQmoFcUVURJnkG29txmO16cvwkterzsCW9z2KFwkcY3mklGAt5Io1ddPPkHPYp+I5VXXEsKDRU7
e1NcN7CffvR53U+RN9HDmhqjg5nf+dXqYdzJopU3MMeCfZWa0L31IneAWJ2VLYuLybWDSBRccPWo
t9TtUHP/KNjfXWM5GLdDz+4fOdNHpTHS+znN6RG6gOsnZhlE5VV1Gvrw09CmuWFxivde6vYkg6DY
h5pHw84hlGUtU/3UDG4B2k4H0oYaHpQPG8yLy7XTc+oY2DGu0Ju7I3as4fQLbk9u4qMOJnOjY7iP
eTC/JzN1FfjIORkEObKiGVdoZd38ZGQ2Ra4d/Rm/4PdG4AS7VEu10n8S8JuinultDPArU3C7vmC/
6eNr2MuKpXvNYNCtOCose+wfOAl9Uw23gd+gA5thWa7/AsafU142OYFcXCgYl68Nv12PLuMbNNY/
CPlmAYcrbJYbt1j47yK+U/Y0n8e+RgfWxVOorBc7YbF2jXqTQdZao5S8h3WH3Tdh4DGOabL+BdKv
YfFtLbNw9iMWUuw19wBmOCo4wC1CKHPYGJezTZNLVObts1RtfuslA4V91p6NVb/Ti6Pf/snch7Mi
tmJhhww6/y/g/SrM27txaO+GxirxbzUBr3bzchBMS+NMepj2YGGlh7YW1jXY0S/wAcOJWhKa3Vj/
obFewPxO6Lz0oztENPldayknTOnt869Z7P+Prf/D2NrCVMeg9/8eW58ySoj5iyPpX4fXf/y+f+CT
gt9MKK6OCd0GkByQoH8Or0PzNw/S3y/I+D+n1gzK/5hS2+I3oOXgB0LLAQcCYPO/mVL/W1gVjj+F
13CSfJA+DL3/PYo0iD5Iee8mB1qTlpOoOspbcrx7aD4hKo1AN/qcBt1+slbG/4EGSbvAvw7I+e4X
SJRJYR/8VUf8e6QPqiDmcsT3Q5U3ywkuxbI1LMXBaqlksGbzKvZ969LcYZk9ViDz19FYc7dfgxie
fyzxgLuZQjmLxZJWhpJSuLnpVkVsTbddho3dp2PsdZEF9Tsw3zIA0XHmzwN1JZd3hNkvp9BPxJ6f
Eul/Tp2puNFprX/6eYDBBwcqxbqY6lWUg0O6J3rv44SNpx1AFkxT8JS30k5nkstOfGzcic/NQ6u9
5gSPNTgea3zIYb1soTsW6/pCZJ/Jx7DxTx2jlvtyxgjcPZgxsPZjMFESRj6Dq/RF2WbibUfO7tYT
g4sk21QA1xgRFanhvqYinCHPhCP1eleolkVgR2PF0Oy2tXyOQX4SjIx5eUuQZChmM7kfObxuRQn/
jRUiqUSwtRQZTiQzIn8H07n8ysRMQ/9lQk6qd17L3JS2j4zxCrmMgkpaxOk1+ZjFZv9WeCYT/qjy
YkEsoq0ZGixzckaAbzaNWEryO+BRL11LbfCC7743AChR3DHWrb8bvGXd828oNbr7dPNW3/hBzoGi
EIm9Lz3bvFsyCwphHGssa3dhQPdE1VXiZKqg3FG7JjvqcFYagDRW9HHbOq28bdPC4oaRvoh6fASM
HEPkQqxIPwrpFjSegAH0yzpdUaBCqyPtTz8vx/j7QPGubsOpXTM6oMybiNyhD5AiGMRTyJqmzTrz
u/pAOKM/OnG5t0yzvE8h2t9pmnRqzjSJj/7S7gxz9DiR14cpnB/9ugNTaoSh+nAZr9xXReqvkRYy
TlhetRFjX11xElCbC0dglS5Z+aPRCGct9qsdfa3hp5fg2Yy6uMtvsem11EWCLsbpOYubELYkjci5
aRzr1LukScTFKK0kvSctYi51w4+5Ia1Xz0tkcnlNf2ZwhZ68gIfKISiwBRHjHEgXaSq0purQ2ePP
mDnH+0Lp4SaUDeMl1oT+nfa6Tb5koAHS0YkKOV6RInOxm6sSv+PCDNxLYgYAiVMcmtD0mCX55it7
O6j7fk1r4/+wdx7bcSPLFv2V9wPQApAAEjktb1hFT4qaYFESBe89vv5tqM2lSn2l1fM7aQ1aKlTB
ZWTEOfuYfbPHKp2w/xvJFbDy+oEkEv9a9Ha+i0mIO/YYu8709yeEGIV9WxSBcaZdGX0sMS28cEUT
eCGtOLb5lOyQpOEOmKzkC5JYx1t6lS8PYSWmm9Juuqu0QXiZhmxZAX9ShI5RkzJA0wSvFTGEJ3es
xC0iR6jlPY/ELhkqT0PdGpKp7vjiukVUcdWRsPk8IGggwW7sdRIzu/DUBHH50MZtP0+iioOIfcCq
Q6he0DlGT1XnNEcqGKWtB8JsD9Sdk7kx0iC9QcHk7Ytp6PHoMqYnMc5FVtHZ3+yuKrfYEMfnIWLK
7Cttn8UFCgQmcgnpxSvsATobKga6RubvTVUcR1tn9Vdg7GOr/UoWnomUIEt2OlJh9A1FvjJIyNpW
IYnjZqCDAhmc8nNBuvtRZ96+obDC9JhZ/W2U2+U5IJ98l1etuPXGfvzY5iHhCp7R3XJCvOshL9rn
SY6M+q0+XfGcNKs8HaJdn1gUw1YEvj1t8/ixCKtky2XnadH6EtNEXHwVeLG2GK3I0ho8nQwkh9Kk
TKvmRhpdZpKjOdJXMbuAqt82v01w+bSF7rD1GnXE9srEokL79hR46U3RNYrYC9P/aLo8/xPhZptB
jFq3IIyH+XgY6yfVxOqs5al5Ow4d0iajHtVVnhtMiJLhOilb5NIGD+qBpqsF5n6GASJqGPZhbPgH
tNvZyndpP3AyslPL2EBJwasmS7Kj5pBmYJaWAQwjtU0Gz5q3rEsH8HfUDxU/2mUj08In3tUjsTrk
eq0HHVUya4lae2VufopadEAJbaxtaYXhA1Oj+s5nYHWmXTEQE15ORC2OcflYZ606DzZqLwxC2isT
L50VjdF2EuZkSfL0yKus78ev865uJE+UMIQss/uD5qfdFsRKd+6aShzMxMw2bliWTz0TnRtmaN5q
tLoJRtoQ3LKyFS+OavPPbpPJb2M4b3ydpkbaovyvPeKUtRVOCr1AgV/KbY8k/NortjfNUsv5nkul
1dreNcC70exNutcidY0E30gvcC5PWnRAeFA+eW3WrOni53vXTkMaE04Uf8sso9zUBLw+uz6Zomvi
ItPPwvfdbYZW+NQannvs3AxPI3XsPlDuTrWxiXjbZH1DpNkk58bS1XXkpvUpNkZ69gy5iEnQmpPX
aOQCW7F97hMEa1qXtc+uxUjXLFQ3O1gRdiFP6tvbwq+JQtTU+KaLNmkRLoUs14pzfEz6RnsIAtt5
KcOcVw99PIvBC0L2+aXN9nyaPG8NYi2/lnEmzqEOsp6kx3EVu8mIS9ez3a1sgGtyT/ShWJqKnPXU
CHLw7tJ9jVFnb3QyOS1ikE+an9n3rk9yPGYhcdVjF+E1OJo3JC3rS98jHIULeCgTgT+jwZtDK5co
vNI8tW4T7X0znxn0WX6T+6Z4lG7TkUuuJRsgRzY4pygjJtcBTeWwOCYxsXWkFBX7kVnhrbR9i35y
RU433cNp1fadukdkXsyuYZNoCUxvthcF1jJFpXQTeyX+ArMb1G3iZ3LbByyyvS6uCCruueypBYJY
N06N5QwH1ZguwEutfAvaEHEt1AW1gzfHvBrD2LJOaib13ljfMHstbuKxKHdRYJq7gTCn5WSH2rLv
JzVtwQrJZ2oB82EQCs1+awv5zU219iXNXXtDd/QjbnC51iJ1K8yqjvh9+rxfgpS2M3nloXAgM+zQ
F5VGVLFZh0tpOQRHSCJQvoRFBQ8Xp3FPcjZdkJzlbWQfzq2JlDGNYvvGozbdGEgDj60TW7So8ZuS
Fk0cO0YOXsJn4bflqi6rJ7gU6TVxMRbE40m3tqx3uHatNgbFi5VMCw25M/PEvZaGHFgVZPhCgeYw
r4mYAJWjt2PQ4i39IFb0SQ28A3sCP40ld3ZyQ2urC5aVNUSMovWc8pUO/pq2cH/nVDRQ+kn0e0cf
s2uMHj3PiXAqbg5FVBXWpjVTVHMbg1zBSG9STJNHjRigMfX+vtMT/1GP8+QR/bO7sfyaNrHtleU1
ulB1nBDRIXuzvb0uizZd+HokZuE1K9jCJf45bDtMIYMvokPUKFInw84ISfb1STZKS6SobyKNZM1g
P25GsH6MBdwrr6MjOzRudbCToLx1tFqcLKsaz6qsjBVxzP4SejHO26yf6GQ0/sfJcY+R5Tz4Ttiv
QPmfs9A2+JXWIaXt8imUlrmoxgRYgudgA5Kp8xG9p7kfNex0XR/AHG41wm/E9Epiw+dQardugXcd
8quzSiYwPDU+qCV68n6LegJqHNL1gS3CMUyMdJ1E/iOXRWxazGkY6cish3fuLbQkvCaQUpyQqb0Y
NfkOM7cU1zYB03EMr6VIE05M2qtFko5M2gWTylxaszerFDPuYEOe2Xhww+46wKLxJEjwZoI85CkR
NFmFrACK5aQRiI7kE4EZwzOMFfhXMVyRCReJl1Ezh20U4vhIlbtVni2vBwfQSeFk8Snj9nvVark2
pe09pE3t7AoCHQmPr/VTkCbhqvPpT01uxTJXB+E+LKS7GWssK0XtEUNjwSAj29k/40JiZY+j8Rp/
ZcJwPlmHU5OyTyiqZukwylm82zH/AwPk522pg3cZ66olpOOyP/xROR14FlGTpJjvo3T2JWuDBPcw
ubyl7TbGZK1n7EippTKWbD3+DdXoggXCrtQxEUXiXwdyAwD24uATTXBG00W4N4a8IpsAUjC6i+Da
xfZ+9+vfeYERmg8lYOkKRrw6bdFLjFBYhpEzAPXfG4VZZmuekTFBH+fnb78+ziVI6PuBLEnfh0wX
ks0uMcFxjs2uiqU/w9bGTeBW1t6ZPd0JwuebEmqpukIRpCN9sdLXQvrsqPvJD65xlc2bay/g233/
Sv/rH/2mfzS3PN5dvJ9cD8vXJPxGBncINuc/8O0//tWfzSOUCh8MZFf4l7D4267NB/7lfACjza0E
S8MCzK1oMP3tfLCItgOEwCzPmptHwID/01MyP/C0uRZSYR42rA/Gv+kpGTPt7x0VTAefY8xTTDhk
oKLg1//49IJuzYsSo/I564Vad/1s38lFRB8+ln3HG98eD9HQZWjw9Lh5aXKre0QRO7Aaq+zPPiXk
df+NwmbmK2T/xzz2hjzRpgZTfsETmr8NJaGJRQS/BwLn+du+c2FY2TjDBdruzBNmnOkxwYtpZU5a
Pa/rHDBKb7Uvsito3lSp25TYgiqMeN5US4sOu8y+qqbBk6qCgOlfkhiPgDgwzI6O7b0ZowbW4931
/odv/B0/e3H+IMc5M0LOxsJyyTKzQhlwbcfmLAbb95leTsljZ8GO3DS0WHBwj4OBjV4S8D6xg0Ru
G+tiSzAKHbsKXujXYKhrAwt5gc2tCXOivtNA7xaSmBqMpbN9JG7VISW9u16h6VNPdVAe44Te+Rpr
lXOChtul21//qp8vgyTgQHIhHO4NccncpROH2qRI6jOBDuop93HuLChMuDWKDE87eyl1X3hG8vHX
h714mUPGmlubUrA+6/N/5q/17urb+uBbRe1n58ydjLMRB+05A2oIADB4+vWRLtas70cifgQOO5g0
JWcg/vsjYSdHVIIl5ewWuvVaImJMyFR0GXXERbBmzoyNE+2oCy5E2H36u5vmAmDJ4blRQGZBvXcc
3g4Xh5dShFQTaXiWZWy/phGJazGQ/2RrT2nNeJbE41Hn0m/7pKRzUMa5fGsSVe97NVpXgyMqfSn6
KEfPgb3nUVSFKVYB4uO3QoNvo2tTKpe2wsuyY9VEDffrs3eJd5u//xwKRGgUjW2e1UuzlNPamW17
GgpNj3F3NW9IDY1cC4s+zJj5B7Yc8WffVcXVMJXBxiGxNlxC65LfGjlN+XKESEe+cNS90RGih4qd
Uf6mY00WEhfx/aMpSengJgLIy7uVp3NGe727nRC5hDpKEHGK6Dp6yl1BDZvASLNB2cBgaZfVUOro
FOF4LoIgoF1sZNvarIptYiGpjZMyvSsSO8VDlfT+c4/ofE/FhdbELotHTJ/uyiszD/hOBAYpbGjG
L7yozs59Ada81AiU9hFo4t6avNnMSCLQznaa5M6M/Bt/zMSwSFpy+CCAPTRmqgnUoSzgRgjXbFVZ
7QRCrXejqySw3RdPb61DQBLq1US2r2I/F9CN5HSEe7oayE97Oo10fW1tnop9YabV3DNLx2eG9FJu
vLps95Znmg9lYPTx1pMa02OiSb3PSuhVtwjxqH1qU5muiqIm/zrPir1RquRr2BVAsAqRxveorAa5
6AhGPtDsBHbDeSCq2lTXZZ8Oa4vJ+8YwBqNbJ7YkTrDrwdvQbAi8dQr/cNUW6jrwNF+n+ZU3O5Ya
Ez2cHjkLt5HJRwRmwdGsVHFvi8bewl7QIM84KfhZpAJr2nzRtOnY9W00EqNfTZTc32q/YF46mQ0B
Qplvdv5maPApQKfq16NPLOqmoiBiYyeAJ/FX2WNbFRzVLu2QhNAJ0pbSw3Yu2WdhZ2kSbykaLUu3
lROvfQhZOuYLw4J6UekAqbiT8Ic0AFYBIMvhCjQ55vjbti+bNIXJlIxZ9RWUJWFjL3VPKZxi9K94
ledfzDFF6II5vmnbQj/jtkljtt9hOW071TbePq1CTNER+uF7XTJ+iEbBXKPlGjDuKIm143KlgOAy
j7y7ZZPEfbl28LHpSxoDeHwDBgGSTu0o+2A1Dolqrpy6EXN1iG2g7pcAQbQNsZiRd93x6DiIu+ky
c8OJuE43WRJWbH5KFi8PKmXoQCnAzknYtacD5yailUYcY+be29CzQVtVe1QFGzsjb23pQmiflpnJ
PhtffqUlC3a9fn1TQy5Are2H7jccgpIRsJ6bAMctl7azrXm+d8gE7TU7Wma4BKdxV+POrJhI++A1
1h5jdzYzVZ2FOGycdNzpdZ0WS9tky7FEUI+NDMAwTQguq/msFelkrIRwYpL64lTXIBjoWs0pxx6N
akyleyQKTbKOg8a5m5DMik2k5aaB4y9A87iQgRk0W6/qELaxGIsDsd1mvGkLvgGa82RmJxlQaJdu
NBb9KXVHbm2NR6VaeYaBOAnLarLyPVoNgJ47Lmco6xkUAPpneiNBXSFg4QugcGUoX+4NPSSZFn2Y
szTjmNTPMA9hh7UeCjytrwp1g2YqQnMQAmFYpEU0aUd9lhkBsffpLzAFKtYGgOZ8D7kPF2OsZlvQ
/PcYwDMH4fbxxQxXA+i9aIaQ9DvC6EeNzX+Mx9QAMQdozIV5Ix7GpDfbs1MwsGLAUjYnu81YktBK
xvwDBWMO01IYGNnLBAEwOEClSoZN3dtTeGTn3zxYWLRfYaPhHHcRHbIHh5ol1rUzhXz51kAPlwjU
vktyz9ehEZYvCQJh5J9+1N3XttN/Lhjg7VCfgzBzY0a7GGc8PsdO8mjYMKYxzhNRf9Zt3djGg9Fo
/A2U6rW7bIxRDmuQDVG4qzBl9ftMMmq8hvmn6PeU880ZRXjVJaYsuqyj1bhLvey5NkGf8cXympfu
kRVMPZEcz92d8pasVghloAw0tfLMm6hq4/iOnCZl7Qcr6ttTMzRz8clU5IZ4LDKT8j7l0Hk+TWgF
zLSZcMXL+cfPX73n/cT3KkDHMHHkV0Dr4lQFSCKmpYppQC2LxI9D4lPkDNwAqfLq8/94p5pNFlyX
hjWiFxAF5O190FdDe4KEh8811Nty2Ay6pHs/dviFueo8TEt+ES+QQRlzndxk6ROIMHVwuzBEfxzY
MffF6DuvfYaqdMHEcrwTzaDXR58yNzrmWJuie5fVYltnunEulV++WLrJLAGPX2gectdX7dELcnQt
I2RT2hxyxKRMMy9e6rIcv8QJfbmhrfV8V+pjFz/DwfLrXQqi4ds4qfkdEmKAW7EPcMU6NMegRpua
qmcNFjFwycIvF9LiNTdWfQCpqamPKkW5ubJNiPO89mxc2l1gqieSpzufkOKMx2TSPKH2VpYb5VvK
C5mmjcEtte7nNzagCY0zOnSgXllk+vJowDdzGNUkDKWSQHS4zqoy+lSpTj1oI2X6YVJNZXxtatiK
i9QwZLcPe5OPGmgVT3hkfbKmoZwFOIyIMNhMOSSS0zDK5D7qoOS5iGetFGglwZDI+5mdGvW0LXAv
5gSMDtaV1pCLs2bXnnZHf+yLYImfMg0eqEQQaSossgtenXXHRLnua2bJHW5PerLlfeKXRvjRyJn0
douJCmx8xEakKT4M/uU6kKhRD5pX9J8DX9e6ZSIRQTEf1Y3boda8aVu1ZY3vcGq5Sen+RuIG1flk
n1MHOCnutk53Thbx2QMe06iv1zAluGq9m9GurSbUzQyFauy0gxiqVZeYbsUoqeTuj60B7/eIBgkt
JtKr8rm3R+Mh+g4cYaVTT9zrKfZ3RVjspqXtH21cSCdkNbYvsKt611jEcScfbTMDVdnbfmOdmOm6
3V3p1TN7yueOxmNDstGGjcM4XIWCLLwrWRWBuDEHPXH2HsNZfhccU/8U4wfsVym0UNyVGZbqU5J4
fP8Km/WmDtw4WGH60fdjafHcj44j0VV4gfwj//B/nZTfdFJMiz3du13GT62Ua4YQ75sof/6DvyQ4
+gebGl6ft2zghBDc/N1Fca0PPL+GYSMmn5sokCD+UuJYxgclbeLJBIR+/pjhvn8pc9wPgpROg6Yl
bxf2M/9KmXO5IQLrrOasDKpaNnMmrdAftxper/loUWx73w06+TJmBFQuSArvYFswSMRo189KUL0W
FSoVBBXeAQNI8aKoaR/tzC1eLCeqn3UBSw9hqPlH++6/tlUuNkLztzN1fj5f0BRsONEvvd8IQW2r
PKNn2UL9n79CYRluyhmABxKLRkpJ1bpFyz4HJeTYWd5dxX9okLDj+nEbhihWkN9hwQ3T6WhZYv52
77ZhFMNJQXgbXkAfWCrct2Xbg905xarKsX0UtryiD5oRCDk68jhYKgTuUoWfhimbvkp4et2qmEZx
8BO/XsdOm2ybhKV4XZW5c0v3pRiXTPJtvA8pvChexBtLL6zFhO8TB2qKL9OCMXQdmKNeAO/BaKQD
WhwXPd2IFTn02DfdNtDKhWgc7LGRY774LrbeHEQTclw3P8ramtZVnrR3QVbj5h6tjJllg+l445dK
BUvlBRFFmjXn+FQatYt8aBmK4oedSioE6RTZmZGQD5ZT67tFlWPbHuEUYfSaxCJiXDiyePYd+Me5
tkeRjT0X0/HHjOEppSD2ryvYOx4wo7F5pnyiiR/qSa8vdCOYxQ+26+xcEY+bPiAqHohciMfZZLGg
K1neqVaLbvU6DGfwa6m/QM1xVnkmdQqcgPiUvhVwigEAuzhZeZTuBs/FLcFoycEKbQXNg9HmBKs1
sm/3s8YHkTOO3jsQd26wxPxA5HOINHSTGjF9rsxrYqYntlMYOJP8SRyzodJ7RJchcLuYPQSxsygs
V0WkWTu7M01myMz6FgxQP0pYH8DKnOwmzirKS7802TPZwDrANQM/8/XB2IAFqTZV09s3IxjU7YR1
7msZmDDQ9HCjmq5b8aSqPbTB9G4yQbYtmrwlZRSn4sq1G/kK+L7YTak+YdYqmt0YVjlcVrPx0bBG
JoIHtkEDbLIyq7dMb42jB27qoCDQPaHNbQHlBfPsTtrBm9Xr3bWBXR2WcSbTN1NaWJPMichp3AYY
mBXSKtp+3WSLhSMrJ1rx7N0HvhaJcxuHrc2mz0ud/t6o0nAoFqXMcthfwivJDIE0DLWhaGIcUIFH
4dZU0dbU8/4rqyP5TF0cpEgzQL53+qkuVRW+diH0k53KOsu8rmuUgBPEg32iiwhiDZYFdTXaZv46
4ahvqXvaAWcFrsLmS+a1hHqwQSqDJV5hgARNW2XaOvfc8dSNRjYua1026I47QFr3I7COcfdHwamx
pAISyyoygvCW+8Un/IUMg2Itm6f1QPZJP+hjfTeVDCoCBOJXVdBDMil1kb/WuRTwQseEW32guB3j
Or4zJC9Nf0DlhWA4zK6jqUWF0eYAVyBvc7Rq/m1swOz7ypuMfl3i2cb71Fk1wDwHhHAVkv60pg4h
cisfpl2ISPuFYVn+0ncmOkFld4iCQbIJl+ZCCxUFY3b7WafQ108RVgrkW15PCV2YRf5a1YmysTUl
0+b7q1zxywPce625biKX92gMW/o8hOb0lNTAsvJl3JP9RaPAM70EWjzZKuOrDRlEL+YiXOeP2FfK
4j5C94cYPjemvvuY+UMS1iih7Oy1HRtKlBFp1zGvJudc1gbfuMu7XNv0sDuihaXRripdM7meczyQ
suchEPwaZPJtG/omEXQ5D1boucl1ZdPQWoI0z+0V+TXdHpFDY+Ira4L0KkU8jtKKb8C9mxbWnugZ
tztbwEvxJAjba1e0YuUnlBogCzg5sVqyHc6MVe46I7aNYHSrRVDKHuSAlp8DZ1QokRwQXx5DDibc
DLDivs4/10bzKIbe2XdKRfbWaFR/C+9AECcDHKMD1+uifDRwzXYLM1fe0sKhvTEYHZ6ozr2SMzNm
V0HSV2Qat4PDLri1v9hdhlKsE0awIdJ5HZm5NuG1socrC8wYuxRANq2cyKxCd5bsBzof9todKuMo
tATdGw0bueAGgtrNOsMmAvX2ylIAxlCyptJcOnY9W4Rz04zgAEi4wgxMRt5+nRNVs32I5BLftjaD
xwu/TiEQf19H/1c4/q5wFKSpvys5fiocz2/9/+1e04Khd/X2QwX5x7/8s4KU+geHW9ZgvsS4+u/q
UTJNQ1ZNzOYfw7T31aP9QeiOwQhQ0uGbRd5/V4+M5yinmL0JIQ1i33Txb2Zwl4NlpNx8EDEpILbg
LFzOey06B4hveUvFmY3odXLQYjr+byYeF7MV6/tBFKMoG+ENf1zUgE3eaQXBnNMOjRaWHlnj6JAz
VDu2mt+Um3P3/13f/fuhLE7LjIOSuv0dtfau4MtTbygjX0w7uohQ/pMwPmIkAnmSF3C7/LDZpUal
kdoNskuBDfnN4X86nVTggOGQ3bMpEMj1f6w3zQTtARttdEpZ/2Cm8tlFTPXuDvuHonb+iB9+4XwI
m/EY4Sfkf13GpVLjjVAKjXJnG/3DYIsnCjSc0yaOaH0q3359MAy0Px/OogS2LYepL7ugi3GR8EuU
WqqmjdCDPEcLDPgXAWt6iG0vPSSd9Wh5fZkuLL/EmjZHb6SLkmSDaoERPq1WNXDQhTSZRWAEduN9
20uVLllGwBlBuwFcWteK2sosDXjJaaAWVaTMvRml4rM5B+p1AKkza17kZmf801irYlZtt7NvEmFd
UIKfEAF54a0+Dk9j5FVXoeP3/kKYsgpWVqnSBweN1HMIMZVWItJezwf5bmPjvpvRs4vOAg9N+rOP
oJgV30+Vx8oCX5ckyXLTMQvZ0/g/tfR5NiIlQEcmd3lofXEm9xZMQroEe5MeCn345KOB5RCRs9Zs
PjNl27WKiwlr7mz+rFix8K31b1WgSnLQg+tidLRVqBgwWGbarvu8d85Er87SSXJLTF88MSrBXU7R
MmNfaOl23ZsgiO1hyOpwNRpRhH6/9B8ax0qWrUvvS3X+SuYEFw291+0QjHvrSB+CU0YsGyBxOCXk
KBxthP7xuq80yGR+P/oKMXvUkjuBD/KhlARdA2Y3lvAj5FVBxasfs8LwDNhrVeU8WnicnoO4q65p
dPE57jCYD7kRd8ekCtsdXgG2CFUFKQ/iKFS9FN9snugY/7MypremuEVSfE8wD8dl1GcYxkZA/xSP
OpB2RluUN9DAaPS1L6DZSsY5+mhcadj0HkIwJOsszEnVRUy4CmYA6hxjp/aTVnlXnhdUt8WUVTcQ
x688NYoXVHj0h1sR70otME70i5xdmnEvlJNDQkqTDdssFS9BXNnjgprY30RSDDurDtWt7vjRVhNF
dZp8Lb8hLGVl1u14QnpflEtVJPqm6qPyJXcYwLMPKZhoDHa4Jau5PaIYjJEHBM4NnfgNWdFkKHuN
NOaqHLFvHOz5Z89D5x8AnparoehvizF+JK0Jj18XaVsrzbojcqx4EQZdvQAc3N9qXm9sTRHqO0Mv
kh14EmtvM3E7jhAtSIzz7fyaqaJrckebjrtgzqHfUs+PrzWiRwLOteyqg6RzhC1ibsWggpWTUO/h
bGeignxTUheXHM2PBaNghSp+mZuDt/GKYDwMmuu9wDmCeEcHFqOt1x+HiMxAmbf90sFKsq072Ixp
nGoL08Jhb3ktXFU7VgvhJD2QjsC4GpRwN17kMN7P8SSmMenqsGXBq4lnZUwjQQKNfhcOow42VnyS
XFfNTfz7ONepziRnWoQT+MgcpSukDbaJWrPyeiJJYMexf5iik1aXxW1U4lbMyulr6LsUUIEes932
/G7PHLCFw6ffDiO0vyEHMq4hB88VZMQp5mPZCpePlaFJ6H3M0mBdVDmdwly81h0s6zwonHVNVE/h
iwfbLtSSTiLuDwJt6ptWK8Qr7213H6a92LJLRiRIp3iNLoQrZFvFdPaSmPJXeMX4mBtucsULaUJG
RqpLYdovVc7u2VSutuhdL1/SyzFXtR5c0RrYBiwAi7SjcmZPy04kSY3sXJP/knTmI/RlcNAkXS99
ZJMWBnW82xqZw+BxSMmI37xBRcuprNeyNa3XVreKz1EruuvCqiHLgOl2V7wSnOsQ/PcV6p1k76Rm
BeYtjFd5P/UfobJDdAhndLOO1HZcJg4PEPDQIfrGzDR5NvpSf/DkZN3CC3cQQNIDITg8qhewvAQz
kKBZO+hSeU6c4SvRFNp1XIIjq+tsGbMPeCJoI9uNClX1sqzINjaAqiwjtEzrxC2TLQBE6yoRYU/P
pIAamdautsOzxra5lF/okfnNolNc99Kzo70bufIhqQcDBHsIlsTEMyq7MQR+aJlrA+bnDhdQfsyH
luTTxravHQjPu0Dz/U+uvU79cNzCPeH0k8DxSB8rXeG2czecpORBuAhvbd3ANKA1sXlvESHi9Gn6
3ODr+jQQw3B2Kmd6rjOxyuMQkmFUVNW5NYpmEyO82DSjjHZWDGE7cbjJWDy/QUugR4zQboNjpt6z
Pvb7LhK8M0q2TM6xMdLRTJAX1e0fdcX/ivzfFPlQqlzahv/dp3mVt3BbX7PX9wX+n//qrxaxSx/Y
AZVqzeI4uo1UuH8K7ZT1QZ/1clTsqG1Mire/W8RCfNBNCniYS3SDEHFRe/3ZIjb5QEVNDhPYpPOM
DfnfFPnioiylGEVeh3vTpoFt0ZWe//+7qpi0th7bjlHt7cwjlwrlgXGns5Ce6AUUm7yM3GZhF1L/
XGvSe2C0W0HMybyDVoWkSFVmt5SJNK5o3WXbmKRC9CQ80wvXjbUHt4BzKsl4CPH0NWppBNFwbWRa
+xZVJu/6wE+eLLPEBJ+S6ukHqXfiNR4MtPEkUKSSbErD1yuMT7BadnmZOvctQq/zu0v2+6qZM2BZ
DgpDTgPnVFwW5jT2ELzhcN6z7R5uHMY4W39sFSSQZv5dfO9fH+9iy/P9eIhXgE2zp8LzctF4NjWM
Ggi8i32vVWSt+8lnnwbLkmZI+JsjXRTo85HI2kSwaaDvxCZ8seWYWtKyajD9ewjuNd1//A/0vLSt
K7zwvjMTawsCwLv71z8P5RUzDIebia3j/PPf3VAAT+s+zWogbM7smNTIV1jUOvpxYPw24Xf//mjA
JdilMjNx5CxIfX80X7k9zcyIuB29t9GrV8Q0DU5l9KTXqYdfH8u40MfN55PBDQeR7OEt4zIbd6AH
E6T0cvdlMCRiKQLiN1ZlmeYrtzIILBqD4bqtWuOqr2MKbBJzC8SQzu+U7T/fQDY78lmLiolb8lL5
8TdDAZIjXPloX7as6itggjVRbp73oBx8l785wT/fQyxThk0rguR1i/3ejwer0PmIhu7wvjCm6TZ3
q3oFk7x9K4KCKnWsQztCU6Kg1f76ZP/Tj0TMR86W4yhJJPGPx439CO+NA5cfY2zHpJmrSc+zJx0n
pBz7V8eale26xagMmSpvQX2mwL+/iaxQ640uULgXjNJflczIwc/o1TiPvcXjr481f9b7Pfp8LNsw
OZWku1q2cXHxorRxtErjHprGqadN6Um2yqHojNWvj3PZ7fh+HLoACqH+fLuaP/4mWpd1BaUm3Hu6
3cE26dFOL3AUUUJ0wr4PwhDSzEDUA3K7Ct/QWgc6/sdU+b8O+C7unfm8GkiK53RueNcMSX/8DvTm
Y9z5Dd+BxOYVntrSXPgTU28PndEB/S7aYkeMv3mffz+FF6eYaQY/XLiCNfRy6gkNvcsnD0BmgEzn
uYqc9ABafzwXURZsK1GAWmm0HP9SP9KFx8VJwuYe/N3w1XCSsvpSdIoehpd5O9QJ6cEL6WZ4U6Td
/voK/dP3nNMH5gxXRfvksl0T2wIukdQ0dsXS+TyOrVUx2kkUl4iiz9llON3kYow0iT+N9vEJ6hve
DoHSbt/GuXVUDc7gIXTFefaByY3TBXm0ypFfddtff9ef71oXK4vA92FTkTiXXxW1R5Ojawz3qdKx
b8YkWkDEqevf9egunnruGLruXDIoEjNL4nJtDDUsPR4Q9H3e59OtCueYEpB69jGpLfv+17/p8nX+
/WBSutgYaJq5yr24PUe3tmsMcbzO8wr7tOt1K3BThLLwqGzA1/rLAkzh0WgH+aKlmb/F9db85sQa
fxAqfrxdGUXTkUQHwIX+HjTx/u2TVIVm8mSQ49n21biX39HfjRqwWRIDP91qwtE/20zZlsSkf49C
CYjlCwnJdRdOqtvHmljrAwDD8abplNniRGMzsSwTKAbo91IA0kFNWh7B7ndTIrxv3dAmT7iEptOU
VNjAMM0597Ik6MkkGPjYVTovXIip5t13p5QTFDA06GFfBejT25VehNoDJNDpFm6daKGkBuy1Kr15
TdDVfCZQwDvVWjFijhsy7xvhTXZxyNKSyLGsK7zdVANso5FCBt9CyGquEZjvw64q2XcGyjO+YNUQ
jz1WNzrC4AcJzxo861vSNRZSGXTSwbqGc3byBU+2Zf8/e2e2G7mxrelXOS8QRnAmgUYDnXOmUvNQ
Ut0QksriPAfHp+8v0vZpu9xnG/t+3xi2q5SZYgaDsdb6/+9nazHaIfnoYzbvqoucr6gSvrkuC46N
mESlH63HJIggbceuvR+Bw3eb0iOHyKfU3ZYg6t78ZiTstDJS1ht3f0S7g4q/WQHpwuhnojXEp9x7
b4sdOnCiguja0z/bORUfY3Yse9skYzeC9MzFU1BZ8zXPmfyFef54e7m8oTsqelyxvK8tQBOnaqHc
PYZG5OK1JtHympkbbb5m0ZRnFOTsVr0xX7WwaL014k7xvawyVmTFnJlWTW7QMU9oCa3o5yTdupUy
fkLMbn9jjpeLtUkY9Z2VQQrHzszrIHyPr11VAyJqvOSjJSQWuEjbztE+QPHGFBvEzCPdcevZLwfI
dsLk2haWmXyghwJEALf1PXUaFLTcNFSlIQly9w5SYrj/GcF1krYcrQF7iDeebSTfqf3ZmlBkvhiz
tMkT1uuwGCsUJn06AhiMCQSDLgDhYGMUTLnLIWcteYgTr+k6IjQMKb3mlUJqe184QkqALpxz+hhG
xTrlF0D0lo4LRnoW2FZ2cf0eayBDNfmsXgeh110bxlN16GMqBrBc4glXIxdMRjZNOoGtErv1NlgE
TlJEELe4ZJudSj3jEI1LtUWphn1RVO19pPA1Su1wJGTWXifa9ehq/6NhlcupR958sLQ7MlLettJ+
yUY7J0ldgXmi3ZTF4u0z7a9ElD/tpfZc+tp9CbZjL7UfU2Q4M6X2aJrUfGtD+zbRdxZr+2Lm5Kqa
LwEGz0Q7PVMDxIj2fo59XJ0Y4JBrLPqadC08oo12i9KpadfQyXN6pXhJTe0qVdhLWw+XbFQkt7CV
dSyZNW0G7UblgYOWtUmeXdqm21l7VnPMq0AvnXWt/axZUMh1pj2uMeCLTaB9r0kQP3QYYYPafK+1
MxYAt4U+zaZdr32zQvqv9F/J7x2sGp7qRNcx7Gvze4HlFl0gEgFMuLF248J3fhqG8ArlR/SqYH5t
Y5K/TnFesAHb+owEof3GTSwLMnDX3BtJ3p2EdgAvi3sGhzzjCibEztMmYTYRLMMNGLzDbFSQ5siT
YjgLVDw9GRB/6A0DcTj3Ts4HqnLsRlihzOXZWWxrN415SI4AU3iaKUaDHN2x0d+57BcZqJXntp6j
516bnrFQcX6oOq1Tr4dlvs48bBXIJbydnSn/R1ok7XHK3ekYM2TgTTlFX7eRfGAGNJLUQxCJtfT9
Vj9/HNzU2pyd1E1x12FEWXvcafnRFsCbCEquwnWLuTvKcHmXWYnhG0UT3m+bVJDIDnkieFHgHeqU
0qdn/YESxTgOo8Te48jHTY4Np7jtpHrx8qXBi5HoAbr2n0d5hfJEXXzp5AkWV0Kb1UttW0d30O1c
r4++qTQaryzc7Urb3NEXS7Uyidn4bqUTAhvn4okftD2+DNr4ZF0886a2zy9DwcJMOTtQIuTinjw7
b1vM7WuprfeyUMNbb4MvVXAuSNMrDZO5mON9my7OfalN/HMP5Seses5j5dQcanCTN5No3PtWAwDo
QjPw0VAAKujgEEwokiED9+2vNaCPbQ0O+9Qo69rTaIHgQhmwkSzZDgp08CuAhLwcGMGFS4CwxaL4
17QCIwZcIBJB9wF304kvNXicnB6tRBzCOijFYH9OFwACEGxm9mVHClBjIitgCVyICTMy+P2oMQqu
BiqMfmI/Z3NX3UWqs1ZFaKTHMAXBwBVMNlYxoOsJjf2gQQ0iKK9RDsp1WATmHXBxmo+NZ50DjXho
68V5DJ3GIBJxrPa5JkHkaMHee8WvxEaDreWCjPAv+IhMkyRiaCkYgkeDvn0XRsjOJwQ+mj4hNYeC
hOXKXdUXPAWEUVAVQNrzfZ6V3htxxDRxNNNiEo5Pqk1o5zjigV4oyvGz0iAMdWFiWBc+hshKnula
YrNGK+TcULHXezI7PQoAozrlGrahBlVf41nK72rXUbd+N00HqwEUuE5AdRSa2YGOV6wGzfGoNNEj
7UvIzdFQfGTAn9xtVgfNNzti/uZqHkhwQYPUmhIiNC+kTvP2xSPCueCltRqP8VfgLGa+7sJleEeD
p/1Qmj8S1RpF4htQSRpUkhtSc8nZCCHcYHLb8o0n26wwP0cR1JsE03O2AgTdbcsomq89DT/xjHI4
LRBmcU/wDGxia9kTORxuCBpVd4Ycug98oOzZTc5Tg00AUyjqLVvb656xBpVe94lBhHAEEgGn+Csm
ZwSwVJeTAGirkjJJia/GjcvryalNMlCc/llE4fBBwID/FvUBuvsS6FS+mSTTZR57eB/IK6AjUh6E
a88nZCFBtCW+4dusjORGgu/aCF9H7qQNGphE5/BwiopuZnP2NkoH9FhmEx6dKp8sPpVi2FWm8toe
oXpj7eGZUZnzXKzzvne1O6SKexDjzXQwgOGckIrV/UaRWsF2Ni/Ro48sDR2kY/ZHJ8BItTboDq2y
MGfWAChCPBFGIMECVHxvPBT2lqzVqV6S/rOmNqLCiJnSiIKrgGvue2jqpUxHCfaAV5sYY8x2OrjS
Cl/QjlnvwqzFl+n245lJZvTk4G9ZGxUvO9lT8GyUCdKdnqSkUGcm5YMMmJwmzxyMwbGErsTz0Dy4
1gsURoBYOnQJyBWLqniROo5J+uLBA5wKF7xccBLAutDBTa2OcLIzWSAR115YUr+J1m0jvAwJxYtO
fiJ094Ow+bhcC+pkREkkRM1udCBQ0tz1BEdhdw721PI2cw1SpTJ8jmvAtCezK5y1AREDwGm/Y6yG
msc3xcYLWc4ynQyATsR3Lcb7UvPCcdX7e3MmGY3hSb4nXGV6bFwTzCYJItdpOXyJmnzcZiHMyR0G
8wStQW47ulkQsOb8EEjaA+Y0zMxP2n5PYq38yBTjeWp8njochE52X9nbDnsYs1rVnaWa0nNmTPvM
jTjNc+AiyWZyN2qcbkdXGngyJvfgtEjSZDHAzmnqTY46c2VyFLybjA7WWg4wxlfdr0oHg9WiWvaG
m1Srogm+Q4gtdq0OE1M1vQNi5I7I/e97slYT1wZPTw6JBHhU6hgy0byNxXLbZ+FJVe5z3YbXbLk0
jHR0mdsuX2kTvWBrf/DINkNSXOO9yd8DmejBHk1KTwUfgBu79dLikwqE4TyTetZusYZ94FbhYCUi
NvnYPOZuqyBMwTHt66sp9kYGqu5nMQQ1IjWdyuYIKoJoJK5tsZZP9CZHF0HeTsd5jOs5mKNvEkPx
smpbH8pTWw+rmYQeXFbW3li2Q5O8TmSEHHoVn53mWZKM9NT4Df4JQuQ8nSbnjQGB2s3Qvwqz9bfT
OKjDQA1zRscnsBql+jaf5cmxEu/VJbJ8nxQNkaSEC7THpHFpj46pLie8IJ721YgiViKeQ55suMtZ
DY5od3ExPWgV+w/p4rw+YbymoQM5tvPl3tSopisFQqlLVw0Kv7scWwivZzZZ+g6THccElMJQHaNC
saI90nDaFV1NO1UrmebGjkk2LOOM89DBs3pP3KheeQmc1CpFSxfQNHW7kZIzCzRTy2S0HGXhVxe6
3IC8KyMGB/Vgy1GEQmpj+hVlUcSy75mnhUQHRnqmMVd9+NZHFAghuJ5dWZnOFaiTiSTkgRK4Cedr
YSO/MOG5kPTTuPImFU4ybFUwU3b0HtvS2KUWM1xdnRjJNPyaLuZ4m7qIDqQBvNGI2uwUE0f/FhWC
Jndke8aD0TmMMh0Me/S7BvlRod5wIMANuuQNFNKGmMH8N2JbODrkwpX72rDaI2d7Xlq4yEPjigJ9
48zRsrvgfuToqu9uXpibpOX4R1pqfee0yzoDhoZ5K2J0yyP/aGYdD1IC9E5W7NAU6CjyfVToV5dJ
zeX9htoW2xn55TF0IaVTJwx7DOnF6+WvBH5hPiAAcR8rLw32nuMsB9PKgJIXihpsak26BL413o4L
xx5BscmsZyndxyDjYmL6d1YyVs3u0iiuc1IyzKnyN31G3ziHqydXSRIHexHwEYt4zE7uooBFFohq
q0TxCxBPixQinpb7jsbLnQM+57VAAMvRPpN8Zkz+xxZm/F02cd5dBHzPJeuXa7CGsyIjnd8LyUT4
VDuUfc0Q19XamdNmz1GN2r4nnwNHUKblF8lCV4TmJZtBj90vlG2wASPhkG8eEqjL+peLOAdVVL/T
/EvwzKV0FP3lCucsk1gDJystmSaEj19GsNtVNo7Mn9E63aC/ckjNWZiQEcp1lYdLRg4E604koDyH
lG/AWlT+krf5QgxGB4BxmIT+fHEdfglAyTRFKLPu815fk7xnymbwn3xXE7EmA5eNJuXaNurl2iyx
h1e6Fdf18Fe9ORxvl3z0CRjE1IH4Z4GoRfDiKhj0C+ap+wjXSWwhFwEJzyv6+R5Qxwnd/Wsh+ZGs
tNsjNlH+tFJcLcOdWLCG5aG25oW289KiOG5GIV9jw7HTTQY6b590rHuCEI2z4dFn3VwaT4Yww6/F
sGkqpawma+FF00lU77QSmXzzOB+elTkZ58AYw9MQh9V7CHXwbkYYW6+Q5PBlWj2zyVGFp5DcqvfM
65DFNpOwVjN6C4lrIQ+NB4oDfkNyL2h/heRmWGsfdOoek5p5pm5pvynUKsmqAGB66isu09BV5sNI
ZhgnLT642WXxjwJk7HsDSqnmUd4Np1zN4VHRckUC5ovuHUDpOpJ05FTDz6FpR0DY+h+905GlBOJr
Vav6s5R+sA4Y5qF2QQguFd+OIijjWzMxKw17GJZdURJr2A4KjoY7X1u0wK/rYgjfWsxouMbdxbjK
I9O4LYlqhXCFanulqHycTcl2CF7KofnBWBS8rV4FY01rzqkdWgoXW0/mK2pCEgZYJd4iPyBu1e+M
IkW1ZhbLPV21Dio2qtNdL9kfiY4p95gFxZMG0315IV66VaD0GmyxR649B8MQom10Hb41Lwdo0f7G
8z1QaL4bD7/6LnUy/FJjeu2qZELd4DOFQpIGRpdne7SNOVbwZKzT5mx0Q3mDtL1/SmAI/KiB3n4l
sPRPgxPDqo5Gnkw2Ao7d7HgzNMGSFYAcMHxLXQfFftdabYiGjQb3Jq+Tat5eWsL/ETr8k9DBJuD4
T93zv6mZj+WPv8kcfvuZP2QO9i8ezXuLoSRqAvpd/61y8P1fWPIBkECa20w5TP7o9yBljHCew6hY
elp84F78aX8Y4bxfPI2N4cdozZsMXf8dlYNt/zyK8g0gWbwaTXakbUwz/zqK6k102ks8iWNoLRP4
vZxUnzQMoxUiQhZnTM+KQ1g3L+uuF8NIewCBgost9BrdMz5TwwA1RPD98MPrjeJ2CafyeyDTWSeY
ZhG04l4Um6kK1Y6Yr/J74YTWERW3edsmPLlJAWuta7qhPk/stIhwGAcYohLXf/RIHH/AND3cyuG9
qFrcCl2cvahBtm8ogwaxXoa8XIDv1URd5wrsB3wdmuvCisxwMwWa12EpwNfb2m2yj1hkFiI4HC8Y
Asw23FKvgQyesF5TzgQ97eopxAMvw8XeOC3F55YukGetW/iIlIV+au0bgCTxagIYcQa5NPhba/YS
T8dAuxbeMKgRdVfXb5WSy03fzXLdWzn+7KAbP/1iKN8oPGggDn40X1FhNvfkZkTvZmya9BZMfbLv
kc7CS3Dppa2ZX403izNVd441w1Ia/akh07AYvX0+JdmNT9DxvZ0D4K1nteFEf/Twe0XQZ5D4lX27
os7dj5zg7oymo2GWWsXn1FHhWlPh37mOUR9DlapHSLwdvIyuAwgyW4dwqQ3aIrQsTo7CE5zOFP+0
ZRPydjujOQ1LHutmsRMg3qQDc/ZlYcKKE3P+YlHlPvYYcldpb4zLingg4xVcQvjKKWM61iPBN7ou
P48LtgxyAtxVtcz2GoPlAifF6L/lmli5dpAcn8ewba44VwxfQRssPI9mRUu6I6wLMmCZb+sm0KlX
5NqWK+3yvs4FQhWAIbrTPJMiFUG9ckjkKNCQIovuvhPJAcgQzQe8U+gN0V3ps5EemEklD0ztrW8m
XWAgxg7vxmCqfYQcl+76JravDDPFaR5jqzvgw6LjNFf1xlRDcxgJlHhAoqNBnen0JsqoPZEgEvw6
tqPX7lzGxwgwLVpdWwjSwUOQusu47hSzmFfmCu4dSbI6lNQPBc6rbsk+7boi/aSPTYgmxBhsAkcB
q0Sz+MT3mD3TsIrvvCntrjtQEicPqVGwNaqxOcdhaW+EO0cFGMG0evKtRt5GjLI5kDb8uVFF9jVO
uR73elXUNymKXqxLY8Fd/joR2oapKf/N4pRNzCHrU/Cb76kqDeSlqykY5tR9IPlwkvm5lHIqaXl2
QgGYHuEZhsMiw4d5HKz5FDtxemhG987wSSetbbq3loULHVQeTUMmiQNi0D5/C9Ebc2QMh3zj9XYA
qrw2K0ZUnfPY92S3AGkxGKXYNIDiMpE3dl1MZ0Wg3t5u6BB3TF/XWTZH2yAcUFVb5K+13C8PYQdg
QWu/82cCwK3i7PZKpnf48hdSZ9GT9vLRXlDk4Hrz3NIhOqoRh7FvX+w8RjKc+WDlpxb4p9UOpwGi
7nXF0GtfoFrc5FMOEaAv5vum8s0jNrxmRes2Ovpzl9+PPIwf8jGd6H6kyQ66Qb71ar5I/ND0OEmy
Npr4htD2VV9wRpYqOQ/pqR4TXskSDc3XsNkGCYzxkKrBScUpTZEmNxweGDZ2vIwg4LTp7JcYYNUx
7NpqbXBZdqQcdbeJtN8CQuE2I70TCBeDuCYenja53q2xQXwrYdJyFgy5B+YfbYdaeuEahkpSAZq0
bIwgIz6ji5+ZJ5YEblQvvkfKVOHXnw7f2BbL3IOcqQlCDuqR1d66Y5reqaZ8ZQY4rcz5ykuIMilk
9TgkYMyLyVPgj0AekbI5cLbNh2zVT7V/8GIjW88uSlbCbRoPXo573SRGB5elu1LkLe7mwB9Qbg/2
xuigOK9s05MbL8jiUxt5GB5xCC5vmsh2HUyjvXOh/JssI0K9e3Um1wy7HL3PBzk11R7BNvLweWE1
zYSWzG2YEqFcATT3E6e+b+Y5eLCWFrAAlpf8PhPTeOsG7Q+viuUJcqpxRZR0sxUdQZdrTpWG3mYb
QZnH8nvyZBttCKOokMk45nZJumLD2XG+gbYMD2gw2ueF3PO1cOzuhsTKe6cFXmwR37luh6G7Kdqs
WLdFXjwOeRjeO2Zor2wtEXMgxpNUOVwFoWQmZFrxez6F73Enm3uz9sY7cwqmq6TtrAcXgsxjPzIg
Uxa8fK8ocVqzdFIhvzlg6Gi/8A+0hiH8HT6pmXmf4zR0D74gmIYwgXnHOTbY4TfJv/SM6mYZKZ6W
HnqybUHM7zv7hj1GnFOVeHDO4qJ5ADSL1ssrsyvLqywAt2a9D6Yu/rRzqjjIz1239rL+gUWY3wSV
zO9SJyT7oATmnbhLtzEMeefZnb1RZtoei8Wy7nLfCjain+tbZzS+g3N3tw20jMciIOnMUZ75TVU2
sGsCYA1WRkzoMucCF92zV+7mxETuDUdtb2DfvxKDG5ycbpwPBMtOR1fxiJyyxT2K3HB/Fxf955z8
D+dkHHEcHP9nPfC6KstfP1Xy2as/K4J/+7E/HH8cejkHa0kUld1vqt/fBcGe9YvHURdRL34qElpc
RF1/HJUhb+IeMzWpgA9xUYn8flS25S8ckV0O3xr0QErbvyUIti9qtz/rUTjsQTmUiDfxMmu0xV+P
yg4+8wC/7nCoysjYmHGSb+OlJM5XqdfZzT58OaQwfRe1RYtLqGRKr26a5gyeDT1V0mCe/IG2Jv7V
7JqN9Dz4dgcu2wWeid41lzz/vZS6Fb3TtPLpWexsq5CbJqqxD9Dl3NWBSLhzkeCijL6vwwE8F898
AlR8kj4bbyKrnfcE2DasU6PkPWVDiFPWvWqVYO/QPG7qSntj0w+XjjeNJ/56Bs95XQ1ee6yH9tXw
43q9OIPGHDhiW4TeixjlA3L6D2IeyThw6te8grIaKTS6lQfWyzXvjdjHfVHy+7j1pLaybV5dI9UR
blC6LnLeErzTeiqIHx6Ed2xb/xiVSkEM49LgPcC+UlirhbGVycZLfiCX8tIqkw0vmg9cAjuLnvkV
uAzYRAoOrBvAXzjRmPmuL727ODRhh8VmdUhpHe+ICc83bkP0wJDZ96Pf07PkJ1Mb5EESoJVcTNpL
0cwlqJFybjllLfdRRSrKnEPE63hLnMXOlWODBsA8bG77hmadVbvZRi5gqzsQb8RX+pugKr/msoGa
ZLVEe4dzthmzGZAb5IXPMBcG1yF4QrOutlapc/twhxEyDV8ErJWvw1pMom+C7in0w+zcBKRvXHzr
9SKXA1x0a2VhaAKq4xENIJ4uiyRhuk/wABP42mMdwO+6Z45AS1iiB/UN5OZ0QNeooO6HhA8VpZl9
tEQb7Iy07zZEA0wnL1DmFks9q0jxd9GA3iSdgSGo6sytN4DIQPgAxQ520qrPKUsKx7lhPX9NQWat
KCX9Fe2qD8v2+O4X/gtAP0AOQ5SbUfns+gNTaChuE/52GmkmZ6BrJEbBGhLA6+X7LnDnoGBlWakR
n34Us2S8gIde1TQxSfR+fpJG9MVNzqp2+bt+zOr0PZYKfkqU8Y2an5EeA2rw0w+oMnz/U4CGo86S
m57L5dneE/WL4ujNfUJ9FJ54ei9Mybg7Aq979TJe0PX4hv2exeRzN14uRolPZj0K/mqdFR9FNZoU
uR5J62bnbG3o+LjC6JLOZWA8FB3gfZOh+gqZGvQYVde7pTCJuMR8tSlaspIavEfbMYq7K78TE00l
imirQbnWqAWfvcdNiaL2nIy4Osue8zpaxgQMHHoZ3+RGpaCQG3+IQeHNUb4lA+NL5kNyP8TOzeX2
wjW5HKSB9Gqyc9rKFZoIEBpEehZ83XYcZIDRZbmfpEXqtqFvwwxa6uW7FQW/PkSIszuEegthCZQU
V2sLetT6ssoXncZU1W2w7yI72zJMDXauxXN/FCznywLQK5xb/D6xl3JvzWxjwcD9bZM1QOwCX53q
cUEp5qDQ/U21Jfk7fK8TRxwuCj761YydekMcCGFh93KSj2TmX0Yj+4qo1VZM/tlXBHdzYeE8oLlL
D7HtyzOQwunGIVzWH9MPgflohQSvPIcZ5VPucUf0ixSHyOE+rRbHOM9YNXaeyyLDwVieYbUkBFaz
fXlp8V52bA5Q9oBQ2fsgJrtcCjKnoPGQJtlZ7tpT0toAiOxWjdkxkXc7Wn66JTwlhTzIyrG2Asv0
mgxTNreRr054tCbD3ryPaejsF6gce5hfRNrbA9GfDb92OPARxh4dArcIcH+fHazwcuu3vckMIDFc
bloYj8Na0I7ktWOGHCyJ1rHvzTmd9y7AE05GlX7sjCymZqp3nZvw/WEixfEpSzC09nTTewgDbIdL
M3MHXK41raGMvHpesqd1v7NL3KnAVKgZfYct0HYaeKoivDMNShi3wk/mh81X4/G/iz7dctMzzEnY
T2yg/Qji2k9fCmdbCiyoVeO9FKiLCFSI78TY33gVHWKK4eg0JxOdGJHTkdi4cDu3ZjZS4ZSTcIlf
z5fvBAXoECVOBO4WkksnyAdpUwzO1bQxANQ7azpUT06Enqvzxzq9BmDZn5IRty7VOwUORY5h91h5
m5QJcKLu4sh26Wxh0Yu8XdtNA/HbmZLbaQZZuQWcUxtrt2nEqQ77d6Gq6gdxKp92QizEKrKm7Mtv
LLFAPyV8ltATSo6DKjE5ArmbGHFyoLfWNRK8TZESH7iJeBRtENmG1wGiXbEjf3fsbsAy+2T2BrgH
D4pqRLzOEcypuI+G/BzGgUXOacvRdN1Q8CQ3zuCamDvNMhQPpBowUvPcpz8dxf4/Ph/d4vvpXGNr
SbjrenS7g5/9/2Sqm4tdtWQWJ/O8J9XiK8l4uFil/9S3pKA4irvOTljp//p9/+bK98Apo4eRNB4l
UvyfzlOgkc05UHV/YMahNzvuQSsBnDOKbDXV2de/frefFdSc3jT4G8uZbQTyb6LmZYyIWV3K/pDP
LBB9EmAyJ7aR6ORvv9d/ioB/KAKwifxLU+D/yd8/3ou/WgIvP/L/WuWIzbEP/Tf448+9cqZNwKEN
6A2/4d/+KAAs5xf65A5nf5xjLOE/OQKJczRN2wqwW7iu8+86Au2fbhNeBTkHn4JGPgSRnx1VKc1A
HgG2ODAxo1GW0Bg99NzG/3A3/rxO9dvAF6HI0bYCTlF/rTIWo+MQsQziQFyM8ZRVhL9avfRvCzo5
xT/4e36+A3kvMq4sbXTESoSU+a/vxXeRssNZoZaEBreMiIdr+sLWyV6YNUL2TOJ/eENwHn+7ivDi
obRIXGKMRn9mYxAljEoPd/oBgyV7MSFe6szeA9OiEkXlrH2iF1+IX7DISWJLtIhkz/XzjRNYuW8c
OijOMECM6KeSaFfARoegmpgDsoXLj3JKWs7PGBWbEKv9uLTJvnBnJO+MJU5zaxT3eZYH+1y06tlQ
bkmDk0pBAJa8CWeV3BA9i63fivDDgHAujklEGFCjuuLeFPbya8Cs+iXObHR0dXQt+5meLsmHazLQ
mLYjByBsh81uHadWfw/0oPhC5lLdEiGUPpsInImhDnMkxQiejAR1IxPXkUNDSNNoacy9P8hq1SKN
3xoxYDEg2N2VZ6jqpq39ET1QZr3LPBIHTDDNZmnFeGjm3IMXMAWhu/aFWX12fkGrc2EyQDAvEjSY
uShxW9+mo2cSAJyJYKSvGaN55vk9I9zu3jSIcO4wMdTpzis9BJNjyDpfy7iS9UpaRfnRt179liIY
+ZbSgnkIIglFb5Rd8CP1u5pQuEAXesiRiQsWaTLt2sEHZCB9K/7I4tznWV3a+S1nVp/jth3B/exH
0s8I2sNwsdDCDZN2Y5o5ay8lanplJ6lzm1hMzqcEyecE7DamMNp2BuOfgsTiXTVJtfMHAi8oQ93i
R1sU8R4Q3+fcpvUmsjBsRIFPA9lYnJi5EhcnLsP8usmL5ZttmeLeAqZ8RuvJcwe3e0aK1SDFJkvS
UOK8EI+2m0AptKV9GMayY9aTZGeZRv2PqHPVR2boGcMSLS5xhSoJTlyCbhOH7mejGDIYY3tT6jH8
5OU/JACtFWpisHREYmYUskGHcKJhorwXZJfDwC0mzByky1cQIOATMhnxanWVitamzFbRjLbZT99x
CYX8Ze+7FSKNj5mSE0rmNg/hmJtM5bo7ht30QDFq2ixt7h56kcO1lWHcT43h16nwxI7Go7rOzHL5
gOIwr/lmnY96yrJbuofmJluUesCbhkFE+Q8MLJJt7yyvaAutG3OByGDOS3cjSAXYjgEQPMY5oB+M
YNjNhX1fjsU3zwor85BkPhrrlYKzOX+WJAkiJIHhD8q9z6aU1Dmf2Qq4xnTYZFGROVsUCohO57xB
Z+WP+TwdUUCShb2Oo0ZKhKkiWl6ybrQH+ndm30GrWUTVbPCodemT3aZ+RNYeIDV/GJ+8WcXbAD8o
PdlLyKoIdeCq00iyp5VflvtxWFwiWYUd+TtvzkyHBvfIUQCfyuzvuhTSsQ3WRrm7KCOt52HIHP6m
VSdDdOM2LXqlqmjL8S5yRURGLCPGLqZFKwZ8g104Om9mHev2reTgFm/HFsbjS9qPwtk1E6iqH94l
kjZWsRInZl5R3z5mBVS+Zm8EXfaGNSh7DIYCLIos2YarwnMOg6Tj7oUzAuzQMkOQmD0uGWcaODeP
yzD2usEb7B1lWafRDBn4TJNzIKmASQhK8mTeFEtgPJkgoLEeN/p/e6EbPuKwGz9djpiwIGkbodS3
iDJnyEgNTsTLJutz+1h3sjwl0xhsVdEviKqbEOGvQG591dg2+GroVKjX3K7aQLQpt04dKHSqkkJU
zHEBnT4Mvk8t/9YA7H9cOhnS3MbzXm+GYSzuJ8uuf9Wz8DMfJIl2mWlXVzVUOvLzXPzF23YeyTuU
eXCbO4n7nhcNn8/KB4OwBK+4J8xdh+BQ3aMmdWv+zBGq+AJxzFxSKoR4NOSWjb8U1WNUxECaO/qI
BpsHjFLu2/w/p8DfIpP+4RRokYvESf5/7gU/Vsgz/2v9DoA1+Ssg4vcf/aMf7P+CgZ2UYxc9LHgI
ThK/t4N96xdoBCQ0cRzT4Aj+5PduMIdBExcxWl8AbfZFHfEHHsKiUYztHpwD5ltEz7R3//f/+otj
t/vpv/8LO90fyUfAw34+yNADdsBU8JpkjP2teiF8EeBpmlRQ0zxolgE4LcIxyiTgIdTUOyIRAcSX
Uerj1kTftTKTMrkZkYzB3WaqvWmtHr52mFjfXPxCdxX33+PQueF3DPYcvjgz1KhZF+dQt5r3TuPc
uUrYXjZkY1aoiafMLXCcMwdexZwmSYvMRXyTGRXVE0W7deqXJm+2bOBaTzvPo7HOIA+QXDuk5VdX
4JKj1zbbu0x09m3MxnmXkQ23xgA8IHpthEVoyAwPla+AObuwyFo4Ir7Fcl7N7rUJOapeKxM5B6ZE
9pvFt47ouWW5nQileJMFH2rTFKH6lXdhyNba9MrQeZUYPfxa37uem89buAvWEWqqS7Q4ENNsi+fc
OSQoZzykgLL4SvjCD0yMIFAQxxptjSUJfyyuQzp5Zozdt5rHIa/LJ/tm16gly1FmD4wwp7uQDex2
7MPyqYYKfKu6dpiv0HtEOBoQWMSoKT2e/XmRG+FaGnq+usS1fw9SnUOfW3MhaVKFzC2thMaYnU4e
8dlL/d2IfP8uzLHirrBlSGMTBiQPboJ8rHYe0t+Vs3jHqS7q28xogjtGb0l8Tu3AOXRcv90AE/Wc
u0mzX+J4PMd9YO6meCCug6jU6hGDlX8vbFZLCix2TSK1cyiMqFgXIfabEEvoMZn5dui2EGxA2tZt
huBZPC52MW9dLzVOdjeO2FyznhwUznYYjkSh+J0Na8eZp/kYl6J5a/vK/FbL2bbWwdI4rsZhdj8M
UfjblqcSXY5xDu4ngj3QYNvBo9kmEZv0AhU5mFrB2APMlBkye12x8hxzo2Alv/tL5tMzNIJzXVte
tKOxA6prSsvkEP5f9s5juW6kTdP30utBB1zCLHrRx9NTFMmStEFQpATvEomEufp5UtI/XaRqqPj3
XYtSUDw6ABJpPvOakGLn2TjCqDjmyWhdupyW0xZp/nrv2XPUYBUJ1EadYXUgYHBN3XgXoi1eXmZI
bt12keV4G0cGwUPjLP5VNlg2fEmv8i17ExWY3Itt4MjVw+N7wRmaOLSYOqqBDIQ8LXQOos89eibo
DsUTYIIu8BLej9F39mNv7Kd9hMDFIUWwwh1PSUuUdK6CbrTPqr5f8r/cbojVueA/SYnWtT+FSWp9
XCY5UGpPoFLhBpBrNfyV9fU1hbX0shrrPH7GwKDQsAc86mDWOQbxUE9Dt7IfYD3nh3xdQACsat0n
EH4PNpbwG+XZ1Vm/ptNjrtx8Z8VZe4W2db8fOnUHsCYjSDGsBpSPnQh95mx6DKhrBSeWt3XfpF5y
BC6FmuAoAORs4a5D0yncHo+VGS8e5Q7pi2i4h9Ni5/OIRpo77hY1zxdWZBdnOCOL3RI3d+0KlakY
EmTInWEbR+18PuXFuA9nOl++gs6BTO9xsnzrRazsNFUCuRqTgjlyiiNdWGezdDgxD8v8EYgBEnvp
ZMSZxSM1QjRpx3HcrMvY3kyRfUeS6m4wPOW14ZwGWBxPZhrhGHt2QXpIGsptZGYXdtMN34olvLZX
kO+9LKfTPPXVxybQ0U2h24GCHiRMvxr0LV5X3sF4vCJ1ly1HP1iv8z5Cm8qH15Rl2Kwjw8D5b/Gv
HAiw21xKQD1ltH5GfAKOaxXerJ28UlNJP8bN9BZ1N0nQDgu1CCz7SkoQxcFQ0U5CJxft2f7Y5E60
z5MlObSoX5N2imHbOmhbroCOt5XWYDnqHHZKtejNGKZfjPzvLnWyHPu+pdm5sKfI+1qJe1VPalin
6qEYpWJiTNYxlfP3UQaVUadZ9kpOzr123OSLVwpKA3OSYTxZQPgkKnNtZGaQRjh5NSDjpkeyKI7p
3226tCVvHkv/HMARImuWFX4YO6JGUNgtgnZDfoQTWzMrgjW8xnW7oUODoHOxj/pc3cVDnzzGvWDJ
YoayJ4LKUFOM+q+wsMn9VoBpnzrchhAA1oYM7UaHelDxsV1197mbEvuvWKZQCjQ4nXZqVqzj3PZi
6Sd5qr06+uDxi6shmK2bIUofw7Q31KgYXBykqOBaotNGLwobF4ewt0gv47KO4g1Oz/22UvkIOcj1
CMBp+q07rNUXapfQjLTreNceMoebtc7wFbc6agchMtnHsAtpyEoahZA0xk1vjdaj6uzhL2Zc00Nu
m7oLGzQP/Mf2w7yCYPeKstlFCAgibM808KeDPbvDdsZ04+QCK8RIybfOZBIW37zBr7+NtaRqnnmY
LmlFXsA5GCznDZ1xb1ssvdgFInceYIvpO5o00cscjekeIl902SfuFysev+d5k34KXDpxCCnbW/Qe
HhpfWIbzW26pOWhabuxz69InD6n0j7NXfEmC8TlyQb+tra82K/y+rZcvnxa9xJDZWhc2lnyCFA3u
zLPPymxGnt9xu29pgrt3iccSxBGvOGl3bNqtC0RvD9rTua2GQO7JwcoPjRNcNymy4PUqxz1UFnvZ
uKlGc3PK5NSRp9frNYi9BAmr4WUssntcigiliC/yFWm2ydPVKXTQ+hQ4fPQA39hcS9GbYKbHH8iX
9M455fbk7PkTZkv3EO/bnTf19pfMDfNTm0fhN+nIu1E731HL3GAVj7qkFX5uKoemOeoqx7m0w/N4
AVvY2aO/CT1EJ1OYoWs8ntNaS9g7u24PiKfcRZSaTsW84DiluzOx2KBmAuchn5bysmLOo64TkN1I
SktuoZD8t4uj1FV33qoZHBlGOM5q0FLaKIYW64si/gSFM7Yfk2hGwwrUGbqWtbfsaLzovQhatVka
bLzmEXSitKLnJHU/obKTfLZ74d1Qr6u2iE586B3FvBLPtVs7Zxi/DPuO3OWia3R7Mfbut7CetsQF
L0NU9tlu5Ja2TjNMp6gjvRr8zt/nfUaXHET6kYglvHOsJd0hx10cbKLHG7cJEwQB2nNIZru2ksc8
s6+zZcCqOuyYok6U7pBvcnfSKZxrryse5rIL7pI5gwc35QJpArdp7xATwHuRHk2oA56Ocp7PkX5p
9UOAlM36qIr8aILN3mlukDFPseGJL5Bp/y7y9NS7kEAzy75JpgGKRr5B8BDphgHHt67+Iit8p9dh
vp+G8bZz1A3p4xXRWr7lixFTVAm4tmVEVACxzy1itmR+UZXhKeDlAk3X0BeX+DJEl0HdN9ssgBq1
hDTwLJQXbl0JcOlHNvO/5f8/JH7oQ72b91H+H8o31X/zL36le44b4/4CjiemU2P7OFP/K99zEP1G
E85BEki4yAL9Df0TOv+JkTUfJw1DiIM08f/JAQp+JVAjQ0PmF/j+38n3POdVumdux3Eh7QAJY5Oi
bmlK6c9Pd+y9xhf3/0ShXmroVv63DG558Z0iYuLZu2lyrV7tlILN+1gYrezDsHhVvR2GRYjnOam6
BtitgAV/6Cz4V+CO4ZvA2QLNx0SNKvbeB2nXVkElzu8CuovkGinodu3p3njRVOOyYjQHasO9wQGl
C+UGro01PWRqxDOqoiqrop2P+ifbKKhWmO3ekCIvtZmpocZQTSajQIuOSDF0eFAPIIasP+jpmQT/
by1EP6Chhp4e/AHE7aidvh2ddggc3L5W8a0bJh1XmzoNMzY8ipfUxGOw4lxydvKmhrUt8+XeD1F/
kluXEhnP0zhTOj/8rabwD03NH2is/+lqckscoY5gcUeC5mbsvHlhBMdz3Q4yfXFQUS6vYDan5fnq
jz0RTgaOAKJbHWKPV5hTIBo59eg5suPYMGCf2nlYSDDDkeD9nCouSrL7NUlX05meeRV7pdaMVoCk
7z7vg7Xsg+t1LR0+VtMSomVup8MYxn9on7xuQfkYwpk5iOw7NY44YC28noRJVmIJWFbNN3uyluCj
aHKrvaurpF1v3x+91yJp5kKYAPlIhQmc3P5BAYriWrwGc/ICpYXgad9ViVEicm1W+OyFhX+DNYTw
SA2RCbfUtnPSUN9RYm2K7+/fyet+0Y87MdUcqhuRF4KvM0Pyt3WHNi3J3FwEL3qIZHAtuqUAiS5x
Xw2xGOIEEMG/O8hAQxHqFjQb7ZBRMHP9b1cEtmCFbRV6zxV4r3bZ9UtngVjW0Zos0x+uZSbh3yYp
48zGRT+aQhYBFdvf62tRE6pKQDDuy+ykQ+5/g1MHTf4s6XAAOk9bIoEMt5FgHOP9+8P620yiU2AE
9xCfiwSb7psuo4dMiIxBBj7PNnZTK9R9Y9WWuFbO6L5/qTctP/MKY1Rc6dkJlxkFzO31QxYtMueT
dusXuBuiDk/Y0jYPlavYo7bwc5K0u5njFWrpZZvLJrD3Qmfl+ljAlAODh6pQMqOcjOdO/KEo8EX3
tz+kOy5LncpoOY2T79fy9P5N//ZisMASMSK0vB0gqW83NDDwkTu7dvPcLEpyFxQ8yuK7xpJcfGrb
Omi9XVJjB578abB+fzExb8UgIhws1Zy321ZiRFA7KayvoC8dF6PJUOQjWLqoyzCRdjwAaOgRBH4Z
Pi1Zhab6rpdSou9fW/Ao71GfmhC/yCKSla8plI6Ykg8IkgtRL/6fERzR2+XJDVIHNcskBnoLAuD1
uxVUaWQNSuRrFuUuS7GIFrXeksBJJtVK8WfRx3johuDaQluV1TQ0EItpLgXLwmYZl366PDMB6+J7
MKCZao4/v1wnchrspr//3ID9pGN3gXyQBp8G+CkJWiF1WDJTdaUG3k4jVcAx3HgOOdYGuVyzRVtD
lnFBF2vd6APexWr+vC4mhNj0QPIZC3RfPTZ5e82Dvji4fi9Y3z02R6b37Rf1twBQVg5fCpbqesvy
j8WnBq7O+ihXOMzTxqCQGtjv4NY+lUOLjOJ+DKCGPK7KC/W9ln2g74aCv5k2WVOwg+BbHbS8Mzej
bNFjdpABtdkWXkd5FeMdvgNkI+jQDOpD1lDw3AwTlZsezFKe8JE8CIc6OAo9Z+qDmkKTroP1KtiC
B+kX6bIvkDzSiPRMMR+niGyuZqUoRVx7MaKTn6HxCn1KfLQUripEhqCIOcPcXGQ9Hhnn4wx+EoRe
lJidL9c5EmmRRhwBxleizJnZR4nLausiuuLutvWbrixPvx5AkBnxqBCmY+OaZScWAyoguS4Xw5ya
TayqQ5Qj92iIBfyRhx0my9jYlYX813f0XW/JPQVXkeOriXwBOkdetppy70gKy6XnLmNzxM2KZ0p/
jqpflhMjJyI4OfI0TSorzxtM5yhwOFlsruhZIVHb0kHtx31rCXsej43eTJc2VpxaHg7aTJoCnaL6
rlGiDcND4Rm7kk2HBBRrSjdxzKxJXQlJbevNNl+IN4iThAfcdMuIiixCc8tzj3coY0gZveD6go3R
ST5GlY0oz24FLlxNCAw0ugS+upJCQ/x2sFcoED4hWuQhirgL5qvew6453beU2bnj0NXsAnuqm4BA
9q2bmPkrvd7nJ9qPvaeRNNCYEu7aBWaE2o2Fh5kTb15Bit9It1Xc0sLT85fTWJh78eMMQA3g15Al
uER9yUzx1iCg3Q00hdujUoXg0BalQRs47eBHzP989PlhG0N85LaoaZsx7nXNCI7zhC32Zo1CM+cQ
KQv9U6Fmn/FJ7cBMURNa6/suavh/j4Q/CzgsFHsDoeNKlIGYDuscD9fVbB7GaPepAFJtlrQPyqPd
Sdt3eBMU1Ef+UGhD6PuQ1jKjkLVhNywnPdtDUV/pygf3sgevjbf1FkDBaGa1l+fok3RlvDriNEeV
wAS1sO/jTOSx3qGjHJqdKatI4OHt0SlHz7Dz0C8AoWdT34b5uEs1RPdbsSwz0z8agCv5+7imX90Q
KExtgKKe0BAgM3q1vQ2CuvDym5YCX0KnoRjNG0ZuZ7Gdg8ta1tZZPtgVoNVZ9vD0tnM1DNZ0UdLS
5B5RY+Ld9H6UtwJsKgrhFTXFYknbjzH9V7+5bg0ZLwIckPtTtWcjZrvZKy+ltLRNu7GNIRISt+M5
mLiByk6JV4zGdiMq2WaD5xX/eT8zm+3CM8cFxBgaMzKbsyy9NBpGTnitsLIxkycvzJYSqmmhvVUu
eHNQuR7ngTmUeDm+iRft2q78rnf1KLF+Fh5bJQVERmlXl7yPZjPbljP218MUuGy5RdPTk9g3Dsqn
2b6F2sp3xb1tdsGRwWfm2nmXKE2popv4JClMz+8U9pjsS6WtDc5FFSYizHycPlAnRlaH8aMXwe6g
GUXWAuJnAxNKw7JY2jPefr+IC3SQmOlRBeEyvYD/PHJp36lm7p/tkuNILx18pl0NvJWVF/mVOWSV
Gnum40zRrsWJPpIL+8MSZZZ/M8OJ66DELrXwTx3+zTxS1MoWq40amaEVJDGkgOc66slGfuUh7Ppm
cKa299r4WALzQcsGFPzkWWcjiG5J/TvyUF5GsyHZ+4gS9B+Tfubh85bDf9nrZQq547CYLEaprQGH
FrsCxDOTJ8pHM4K/pnWdT+Z3i996TNw1x80pwH3OMtv9gFPI+khhyGaMvVDGcqJGUqUI2oUgqlm5
foRgI1W7zAm7axe9xWIHFVUq6j2rswRfrGaq5Ee7nqt7rNlijDil7PP+PMDnEFuGVo/dc4eDunUh
UYPxrxLuFI+Upsv7L+BtAsQ1cFGsXvyiWuVdDZ5HPk0QxlDsQMULdAOkGdAAnpg6SABFEwtUI33P
H8bDNIlIXyOklMztJqjtGmR9xbG6TyKFd2jPO6Iqi/plD6s3Q8MTGmQ6l9qE9KtEUXPjh7hSxhuU
+hb1OXad0f8YIHHhY+eIuTA2g3HlLkm76WKeH944InbqTGWcZNU2RFFkXXdxXq22RBsXP74LoBbJ
uAlUeTXZOF0cdBym4NgI0Nb7tAB9wcEXqPB8oGoFVNlXrrNdUFhv0fpL1QDzrXXDAiEtVLy2KTZM
JxhTClqGPa0XSQzv9uhMTuZiLzM7MHAV8oX5Nks8Yd12AAb9h3HoZdEe7S6ETb2HdDfP97OaPYXH
i2qsOxQUB2pyDbN6I+iowU0Mobia1kMQyu4YzSJdZ6wGww5Zy5na5THJFZ7ulJOjGoebsvVQzwrl
OvTRV6cuouYlo5qn5x1N3KUHKCe8EV9z8Owhra9BKPuokqYXRvHGFlD8k9oqg+vYwfK6POqgI6zN
vmVRA7jf2bZRiXHMzhEApPEH8fDITin+8zDF7a/o20YKNXDuprRuWyjM0LI4ljp6CJ14mBbRdf4O
pTSZaOIpG1eB06JDQTQGiZIFI2kRMv8bSwL0OUpv1uZYofloFnePrRNnLQc4yyHzA7PD1aAR2Epy
a0mc5FAs1ZRW5sG6KbrAI9MiJBVZrzl6AJsVnDKqEamL6l0Y8p2HUbQm+sN3yWQO9GhX7hZRWIgU
x7Gv8+CToOHArTjdD75ACqd63HVjL9gmxTAQ2eMbwSgdAT0QBU82sZtFb5gOJ8pNKN2y6SXWlEyc
4XCnbcPxCFbvFPtuRUjUuGT81lk91jYPSlwSUW8SopZmQ6wrlzN6AvxKaELTVzFAXROakxP535k7
lamRlYOYvIbt+lFDCeB3bUIfuCExa2Feb1D8ldz/EBdmnyzx++IjboFwU4v3eTc48gkav4lXIWqz
27iKTtbXaeqb9hC4Rdjg5wPF3jnAnjGxVNOFJmTJYmXGSLVNoJzvowULON5NlaNHBHedhroBOLlk
ZmxjWwqGnz0cbbQ9bqiUe4KhNqfUrxPMd1rGEU6OqVgEMYJJCAegqs1Advh5xi1Ny5qkoxpRcpxM
T9ncwThYaMae/jUSa88S2oydtxKRhk3GN7agxLDVKqF2RFCZLfjN6B/ZxAF3op4T8amSDjfz8zVy
YDrOI+nfqO7R2Zp5Yq9oHN7ROAAkATSYlnrKbtepsJP4sy5DUWCuQxe0ns58wlF9v4auiWKdtTPF
JylHnWdnnd2YoMKm0E4IPrmLSeSjoGey1NTrnHkLM0KGwABKlygFiQwTzWtIPVKc7C4ddHS7KhgL
+WWQhDb3s6y+WQeeJ20eVUPC0dgC+WaJ4ERmCl4oRPOBBJNqAjUHEMCnvAef2aB3h3+0e+zdsCLO
Tn+erpnWaB6AeQUXiHm0BwHmPvCkiTcV9K1lm1RFQWRtMwLF92QNG37g782niUrkejtViOtEO9xS
KIbSwg1NaAh6KzXBPK0Jbubn8iiV4L1UUKF5qRA9PFVferOn0y86mlIww8IJy5BV3TMXKhQZiQmK
gy/RJoDY1bhIjdaTk2q1S6shcsZzvqD2CGqnduHdIoQCq2rfrJJHsDsNKLgYHBNax7ol5UvDOJdP
Wo6G/j6UI2LBG3JL37v0J0eVCEwLl3lW265JAotOkLHZzmxeyODHhJcknrxntYh1ufAml/wJ3Psy
6+Psen35pDNnZlBQ7zCRz5DamlhjgC7J0+aQ8wgMfmXEKJBhr3yY0xQ1QAQ6e4+fUnIWuV8sy5qf
6bf2661taTTMvAxhw2inM5kO1ikKOm+8DxBGH60tPhCMP+BCk3SHQWSiMDk7JsmHr2cC+RTRCn2f
IKTKW1M1Bd12N0OUQXVNagGoEJWcFgAnQQh7wOr05LxnfdhBiTH5A9MJZmnGF2EObLbKjj05OHWh
mEFyIkrO1D85OJWRqpQQ7p9/Lj3EsU1oVVl1DFJp6Vt6dTsFn95MjGYy9SMr8RYzJdHUn5ob25/n
pmdAsFOmTxRbioGcnNAscbLltLsKwOkSvC5TkR6TrJnHD8EcrsNZNM5OdYpAUQ+Sg83yiQ+8WWm2
zqAqW74m9hW9qmPRNyYSdRuXXXw7/cwasUgpWaXI6zlsUgT8Y4CgzsTuvI9TbbLAn4kFimjmptt1
nhDVYpUtwLRUtJLx+hpND0xupxwoN23WpuGV5s5obn1sZk7CPU25BNIdlDW/vAo7iiN8cF2YUYtb
mg1L8RqtDAbeQFd5E1j0JekMZF5TPnn4efGFoHPMzhHPgwl0MQg3s/L92to/1IzgasQw9nDkRN/o
Tc0oQvduQvd5+jonyuSZOrOqTOwsND6qeDMAd+CVvn/Jt1U1ylQR6SnKTD5EcAKn12WqpWuayFag
tkUAU+x79XNqVJFlKrv/7qUMScXFjo+GEa2pN5VVFzPtVVOd+Jr7idmf2sD36NXObNbsXe9f60c1
8O/1Y2xgKFN7wg19DwD42zLlYDtDNcEL+Dp79UgiM2a1y0wE9ZCxDFFpAs9F675l0xgBDYD5p0Pc
R9W2AwVEB1+XprMB0dFUeNAENXvtr94HSq0mRWholXImADKf+On92//trQDqgQeCv4xHOu7a5vd/
q7TPMqlVOoXiSeXOzH1wQJm0kMOVFOr9S/025zwKwzGtIDpBEPjf1rsJo3K3IYB6ijM0YpZTskTF
9OisoVkigKemP065ty0UyC0O1Hd8Z+kmuL/xeGQ/eFFK/f6p8zOzR6mZxXY75uzsd6kbmzMriYn3
CSYWfv5WIW0ib9jtanH2/rO/HWa6pgJXBdNVZbn95qs1NWrWU5x6X6hJkDouWUaVKoLowQ74/pXe
jrILZo2nRRuJq1Ece9NzKwkMIw+cwBdgI2F5pbrKHFB5QaZ2ws3RRI3vX/C1ehlNE0EbLIJKhLQf
S/ztDFJFtLKZLPKLbOgTgRH3ErPNsSkuvFcEpKoZqd08XTI0E0qRcTK+fwNvRCG4g4BJjK2wwDAl
5NHf7ix+mlVOFzZf+sxe0mZPL2st91Q9srg4/gxbtMxMaBz4vtm/fxXFLaFMyavGCpJzYfo5ODUY
N8aI0v9iFiK4RLKFtYoajoQBemyEKirS15CBcFxU7NbhJMxhiRUsHvOA2G0W/sZjdyIWUYjUL88O
1ANcFHVJiQ7T2RKJn7Oc1nK0ogeLYDvHEPwJNgtLuiFZDLwHc5wDoCe2wRjBHPHoHnXcVvizQD8Q
2rNrlqVrgiZs8H5EfC7G8BCKi7pgJ7EHeEWUx9JCUpl09axNkaUpKcu+P/y/TbjQhw8ToIKHF8Pv
U3skswA3si6f26z3iFnTDoxVu4tXZSKAXyXr9y9p9u+/b7lmq41/9GgisADhb654YbWoHsLx5ziF
x+jtxzwOyisRhQhXXNsDOt0J+MN4JImancQEhVYFBO5PjaK3T27w7TY7pyHwsebeipE0Qd8gGKWy
z2VL+fM8r7EOfoBC7cpLd1B/cI56u4MA1RahR6UowKsx8sWbSR44dppn3TB80X1XrI+iCM20KIrO
RFbvD6/7Zknz7RFURED1IZ037zdcfTqhLVY12n1oBmVHu4TypUoPKWVUMt0cmwXWAg3vmj9CCjbM
y1l48SOhsMD3p6OsSwmGlMf077vJq4hDndU3gXqekqFkIZvAM3ZQmSlrzZYpA0QKWRfA7RHSKuSu
Nd2Rew3amIezSsFZlKaW6RQ5GjwmWZUDhak/szBbXiq0kzFO+YM/2JvxZgxi9hWbdYpP4e8dUyFS
FdfBOD+MdWFO5qSlVQHZZmrJnN8fb+/NfDbvlM0rAHARcCzCq3h9CE9tR03V8ZP7yG9/XGsUlE5L
3ZtQf2SrZwv62XuvAOkwCs2MqCz2Cj9/kno0FQJrgvP/SfgA6k1Do+rY6dx6SKgoWGUxWuvlwFIN
6GB1dTkdF28kYdqXOHaRNEIdIC351fijW2SaSPjQuKydNQIcrYHM1+aFr4ihiU/Wj+54+LM0oR0q
oGpnicy8ycIhasFtCLcw3ruSkAfIjH620FiRzN2CngfnXpJQ5UAq16knSiDvD2n0+vWFIR5rISxh
AEuCsxCpoNdD2vME0B+75LnSXvipkI1wDy7t0VNQRp1PjT9Th9Sf44slwmsccbykOdVuWT3qNIcx
2EQjCr1DiugFXDQkddCNfkjIX4fbah4wRMkiDcEuLj5gyW0/o30DKSOQFprv9HKCGy2S9iKz8+GK
EylbydYzbJ4t5Lr/Wukj6/ME/22B6E1s+zuqhuWjtWIWAsEUThqyBvLW51QqD35lYRGySL1T3dLv
6YlXj8Cm/fOqcukSFJ2inNeWEy085VRfQE2Ii2VOARlDPYEV4XUyvHc5n5+6rHUEtkpBRgkjHQYw
lE1zP4Xe+Ih7DUByFCMgUFjU7T6XYzy8VFYnPwb+MBAWJSPAzLE40CZY0AihXzQjFhDn1mb0a8SI
m3avplhTsMmK4q8Rlzaq5gl2L2qS7f1awDkk/LQQo4a3vcVt7oOvFvuru6jhi4Pp8kM2inGbzUF9
gYhyvvfzJf8JCXzFHnrFFnp1ZjAhaCuzmQlCBRTqcLZ9PSFayj8h3OXmhfc138ZugmZqUBkpjEDa
wcMfpt8/XCwEKGeOeWK4txEJ8qWEdjJuXgI7rMEIzfY9pD4XW6i6RKjaG8n/0rb+QIsQwtz71/5t
5v94TLA6tGzYxN/mIyg+x/BTZP0CbJzE1au6cj7UngPw7f0L/fim/zmGfwyp77oAD7Cn5EB+m0TO
bl26GqzMi4NqiCbm4bjYtCQ8OezmKrxrkGW+y4fEgsFcCYxKwPXm1VHnItjNlQL2BVgvuJGBjM8b
qw8fOG9RZqSuqB7rmuDFVU2NOLNy/A/oejXfMRaNLhvKsx8wG3T/ig0sf+Ogrt9t0zK98eqYeWyF
dUD1pqQX50zwfWwZLy8FWlm0EkaJJr6wn+xZeQjvxN4fYqE3IDyGxIQBhEGMi8cZ/TYkwHl9mH3Y
1C/+aAY/y73s6LVFdZrX+alx4uqzZ8XzbnRTmh69tAIsTBbo7u+/GWEm86s3ExqwpsGD4HHJMf7m
QHHKpKZ9kIUv6UjjgHKaRM4jQsBhN9AlUTvt1/MprBXMk9zqaro9bQ2ce46vdBdg0Q6j3bpZndQ/
eetC4UzCG61z6ulbWVpX+dKEl4u3HBuv9u6pgVYYlPHSNgGNsWW7qpm2S9EOyTbs4vCOsFG3hwlb
kyUo8msv7HIUgyl55mnb3dRCVQqr0WH8ulTZ+GALt/yAyjwHRDA708Fz1TSiGZyn91MVI4iV9TYP
kM1Yf2iV0gIIi76gEcKZ+BFMfnQJ08T/y6GqnWxoOiCH9f7gmrF7O7aI3RGDBmSz4VtTasSJaa/Z
YfLS5764Rm+meOxyb4Gi2zf2tTMZqvD7V3ReA1+ZVWhkGdQteCQPCN5bb1/HditZc3R+K7oChzLL
g2qCWrt1QaGyONCIUOz0IpUvHbSlxzyd1WWex/YHS8fe4f17CX6fWoSabJ84gIcgcd+CAeWEHUKU
IjWYzjQYyNvb5EsrV7Defb2ITW+7JRWOuk3QgxTUCndFFohTBhwW3eApjrc0PPHVky3UbzQ+tSn9
UkJvrAGfwSAfTr3n4Yk3ZulZKkJ0e7EBcafNsDguzkMdWlob6SCbBclYdEd0s7pDUSrrCsELzQem
0Lr8QeZcECPFYFDAukknTm84QGgH1LR5iSi9GgZ71VeGWIMR117T9HwUmtSUWGT4iOx/c5bVlSc3
MgQuw0ykXbQNqPrdenHe0HIFUYe610xfSQVVlW4HsA9XUxdDxWvzDiYl49c6Z4BTJnm0g9T9S8k2
/4TYgvru525OqUcXkLfffzu/7z/MlBjQHNA1vNl/q+t5Lp3Qcp5KhO+pD2wQ8ii+gvJY6Bryysip
wpd1GBN0Fqyviy4wWlwC3f1J0+SfJmxkIMgcfRgDURt4fdiClBrqYQ2rb7jO4Xry44UE65hVlznm
iwd71fF9L5vxsAQZ9JQ4mT9nEY4kzJPVuf/DmPzDgo0QprRBW7pgLd8idtd6nHQ7l8W3NLSDj33g
DHduZWFURGH3gnNxvB6rXp13flOf4SzlXCm8ryixV2q+zUOUojZFM+nL3Bq97yDne7GBhlV+/MNd
vs4BzBoPwLuiyeKCmSapfDNkuk4WpG398RtV7z59ILKAt0YlcdmMg62v3UCX9JRgYEUYeov2e7ba
IWQvpF6nI6qvw6NA6fDSxszmwZU+7qojp8BBFrJiuNMi3Po97d6f8+1/eRb3S/ftv/7j6aXOG3TX
SVKe1d9FU53Ypxjw/+fX/7fMWVCviRY//sm/iBZ2DBPeFh5ZCsGCb1R/fhHrHcf/T0I3cMHIHKHF
Grj/w6wPkVniX4E3odjCb7gH2H0q+6//8GBauFGEPiQ1b+pw/5YjAUHqqzNOIM1lag1GytXmfqhr
v16/dR8OA+T26dLJ8cnpDRGZHjCwD0hT9gWOkJFbE06FdMiPpYtisv2XIhJ1yCbhmt27ta/gvprS
vLuvmIPdVKBNASc/+piDR0G7ZTvCR0a+uZtmvzn43tTUMPfj5VRY00R7hHzNrfWZHCnc6GGzKuzz
uqumWopmp3VOShZHXXMpkmI+50DRmG/l+JUsPvY6QEox9bWCT9bQ6uOErmq6tecYEfeiu/xBr0Ql
HtkJIUr3HptP1CrybJwAmdRTCS5LIuY+UWyYUNFYoVEFeGXeraUWT3bnsmeT/+irHNlXuXczE52Q
gOd0v73Uro7NrKsjWAYUIEXcYq5Vp314HdMCBGUJ2ffYW1bLd2IYcFSy1CNpNgWUrPbLU0dWeChW
GdLSA86DQahfwKzCfkXfuCJpPgP8Am+B6Z4+krmoXTYMHGRpt7hI16QYLwxlDZ5O9PqTkv7ymKwt
LVaZ9ij/0/LBNSWRggf1E3t0P9Hs7S8n4VTHwYVU6Dul3gdp1zu09eXlBGa823HeTHubdL3b5OUk
zgLwXI9xscyXxGXxcKSw3KtDNki7gsfooH1Pad/+0CNg6EISq4+eqhLOfDFTIi0UcvBDUVgQ12sd
0hv3ZbuDF0gmHOj61GOatoN5M0YHd5qm/aSKdlunrgaK6yqbgU67DtM5AgmsYHL7aRUOKiWC1Xgw
6kV7GxPopxofNfcQy1ocx3buPmJ4l12Aiak+AesN8FKiXrHtgGWeKp2l9s6V+OBi/UlUzmEkQTH2
246KMpPGmR29J8bE80Wn855ud3wzi76DgSyB1vR+eo4p9BxuWq8uQSx56DCKbERtCP7mmUoK90zV
IeRTESZfWA2SygJ4jK/g1h30sgaly2Oqevc+qfLxbJJ1eHArUirMZZLhY+TrZxt0oLHCXXcJKKoa
wzgcM4g1vHq7pIBct2kQOZd1QEmgzET02ah2HUELB7ifcpY6O6ERwR0QoPF2Q9LfC0B01z0Vna/Y
dSS7sU+XR2QoajwnUL7ZWpYdI6BsYRirO2u4WbCiv/6/7J3Xct1GuoVfZV4ALoRGut05ktwMYrhB
UZSIDHQjA09/PlCWLctjz/G9q05NnQkyxb2B7j+s9S1lY+NfNGWSxAtEsMHSrtNZAhCUD06oGpRh
PjlfQC4eG8hOcJObILtNhTSXKPvktmtyxCMez6EbCPg45BFeEOq0S/zulr8pC0F959mIeo5Segmy
w0ZeV3ngb2pHz74WGMP3AMXK5RBBkewgRRKc27wl6C1XBGf0xA7GyFwzastSmK9sbR/trCL1h9jq
ATmA6ZKgrqiPw4xgY2ifrXPT1xpmT9Iebacdq39vxf8XdgYQBJ3L392KKQrZ1/qPN+n8Z77TB/1f
IOA5DNR9wU6JK+63a9EXv9Bs+I5jskDDT+Yz9vgOnHF+QfnFHlv4tN5Uej9ci9YvXGD8r0Fq/kom
/wkw87fAmTl36Ifeb17c8X+ME13DYOZs/9z8IKc0eaxbsSei2VviTEP1WDTddiIU7pCFygbzUSKj
Kft+/GKXtXsi7BuMgmcY/W1ZtjrFnNReMzfTzyl+DvQ7gXXv8GKBRJVOsQpr4V5FGXkAY9LF98jI
sm2KuGifs+l4KWXg4TZ0kwOa53UDGeAzi6Nkh7mwitnxIadidy+nN12m2jKGR8ECDtTvHbuv9OAX
WXEMXCvbthaYz4EQ19I2EZJnQb7Skjw6GF3d74s4B4OSaw4ZaMRRH3LVSvJhM1LIpZdtZeb5p7EO
ITW7zmBeEBb5VwjAiRwfY/3MWEDDDV9aakN/km3Re4VPhh/7V4QH3BiD054D07ifdLzohoNGs1DC
12DkSeudJjpaQAyAo0dyIDxuFio3gGvIbklcVLHCHogZ5qTc2pkuv/Tc0RursjBExBUXb1umD0ok
jloMmUi2pHEkO79umlUPhmClu6PBjNRsH0svDq6bloSRhhS6N3Rm41NRtdaFFOtxZ41JdeVYyXDB
IkTarmnGGxXY7VEfHPU5n8OmMQW4G9mRTegaKb9GOECmSYts1xU9iQypaL+QIbiIKxuPgi+PZhHu
xawTa2N0tKleFqvaDs55KvO95mn7LHXTVahKmHj4VbZKdfZ76AOOrsl4ODYADrYONJW9mUf5Dfvy
idtNS8DQjszWIPQk7VEiHv8UjrH/7CqC0qmFJJl0Tn8nu17d+4GIzxNj13Nf6+jQAcnFj0Ej6lPS
6tmdKIXc5sw8CDhC4bqzh8zFkplZ1mUiXOkchmLaoKLMyLeVHnO9WAITKhrlUTtb3clBDnMDU8I9
MGUDnJ5MIntrh0FeBY4D4WRoraPDInqbSyd+bj03flIyMpDZSfuSo3veDdE4XKGAso5mb5c7uDjh
NdSI+j4hQAVkfZ3tc63dyyLowTAVtgevX5rP0IxIKwGHvY9Zd+zIFhJknaRgRXoR2deZ7I9m1Ase
R1XtNODVTBWaV6QAkBLGITXWpgzcV2X1X2015PtwlN0iRzy+LxH2gxGCmD66hfnJEukbbHAyRLVQ
mM+uV9yXnYWwvpbjdtIL/VJGDiB7Uqm0g62h56AY9PDwd8ykl73mqNc6qEi+AaON1tmy/DdC+KJt
0c30+ynOHrxYz7EbY7vRWRMfk5AvsSesZw/iwlmhEc7JVq2bz7TbMD1gb9wjx9xzgzkHUoe2SGsQ
6DmkjSziLEkv7GmzWzvIds5I8rETTMVepHm5qqGOLFoOy2cw1fHehR9CVoelVjS8wyIohuRW1his
J8JallbKWG2KRhBM0k6f0FoPDzDbtYs083LJF8pgpIqI4qGlljdaNWz6zFFHVSGSWvr+xm6SfBvU
vX5GF5RtVXbpgqB70ubtcArP65LoobUrcKTUy6ynxy30rnqzmpG/CV6PXh/cbWn0w7rLjJbUUVqf
p8bF+QA5eCYU9O5YIgAcw+upLtOtNjQTNRXhfMuqGxwfGCdwqDAY18Q4MJaZyhb+uO93DyEwDVKW
UibSGbUxxxxT0YUvK/1I9SvPYxHoa8MgG8pM2WcSuWytyYIG4OdgJ/HxRy7h5T9CVwRMxLp5TV2p
iLdKy8+ZE6EPLyP/Yuees69re8iJBtaaSzwnZ7lusUSIV786iTtsE1q9G712csy7uaVfzdmEZEPm
E7JmL3PWyB39Tz63xtUkougRgmgM66N7YbXu7LgRJ0gLdXcFDz7mUeqTU504xbIhBP2Ut6K6Ib5H
nRPE1p+0IM6u6A3kuiTbdmMQHLqazEiu7VpZj6yPzJ1DzvO6CrxyEw2J+XVyw/bcM7R/FZaaL5d2
Ek+MxOIHpPJdtoAmia0x8UMSnqMUQX7YLzUjiG4Mg/lnTzO86EI13OktH30R2dOKCFSYJIPpHT0w
XAkbgDK6xsfc86BRkPsayhW+2RbBdmi1YHyGZjaKyIesDbYxPj+4+8F0k3bEF8sOC9BiJOMtQQla
iIUdDhtHld2V0YXmwWfZ89Irk7wGXJ5Ya7huyUkbjjXjEpAnyN+AAFT+c+o48SoHV/YEOCnYcTJh
/G3M1Wg69s3UJtqbxFt7kI2nbTBT1df457O9LbRgA0G1vmRj7z0gXAo2BjEfdxFRXfw4N9CgYWjO
xqJhuKpGyDz1NL7pU8vxz8piwoY0iBBKTG+sJia+CwK8jsR4m4zeiyoeGKCWPWaF2daokwyaxvpl
7h64+5MkvG9tChHgTSoblwWRvRcVqmxXRrzSQLvdlLFQXTHacwNPEdwm0z24O3Mhhl47xWa+Hr0i
v+m6It01dvtsVzb42pKkbfIX+pZQbecZ49+rHrTvuBqeYU7dFnDnl9rUs/uzVL6vCndcYy65NwlG
OcjIde+JezA/wb0v3kAPD48oSJ+9rnBIJnVi7LvpQSK+1NuDVLXqmi0dtZqcM6VWETrEW2BIWMc4
5MR6lgGcBrCCq7YfWu9GNWrEcuoE7y1pBB49W88XB87SxCXUAdUJSn3bjlQ925xA3XOMebF8lhyg
1F6zpWwI0o3CPpYfPC2tVvMmekWRlx6NcCwObRW7z/ZoqxdG+mECsC7Kjm5kG9V9S9BgsM2mNGNA
MNT9hMkhbOzki0falfZgoxy3oQR3pFqUWpyWSGlja1VoOgB34kg2nVM/Qj/tUekCN9Lp/UGxisdB
M/sdsQDucsybljimYtj4pCQs2ywi6lycYNHBC9a10l6kIbeM5kKiphZ5KCbCJyLmvgduEO0u0uLw
BNrWWGIyHq/oZdVVxbd5mBq6tSjuX0Xqj4fKdzQ0zVq7NYphhJs2l1sWgLUFeZTVMY6JFMb644yr
johI7FiYuyFk4CMA/4hfUVxy2DqrRGnhfhLYbtogCA5VbsaHRg9PkPyJe3cNSfSdQwZi6KqX1nLw
LQw2kDnVxRv8hf6aRBya6zgr130gJLPzCIdegythianY27WMVth+m/nW1gP9XbRY7JYSY/5AODCC
ti9EjzjeY623DGffWuGq1H4IlJj3esilYug1H63Jv6PN/zHaRALqoQf66y7u/FqN2Wvx5ccu7tc/
9J0aCg5ekJAKNFToqIx/aONc/xe6NMRANo511Lm0at+7OJ98KUaY7AuceUk/c+y/DzfdXzyPeSSU
S8ZNCButf4KR+eM6gKZKR6ulsw0AmILE50NN+IPitdDbpMqBG+zIB7EniMgC38sQjg+5ASUqDG17
+cPHc/NtNfij8oDO9Memcf6BLgNbtg/8zdH6/DTZb9haNkRWjLthSKoLVW63dCiZt3//U34a2c4/
BR4n/e/clhp/2jw3NlsCZUfDDmlcvO3NQV3SsgJ75QpJaEsPl5lLYUVio3Zb9+7/Yr0wY/7Tr2nM
2xUsSh6MCXTlf5wZA5UknXp0G7I8nWzYDH00bSBp6Du8Sh4nelQdhmSo6u0YuLmxkIGFHbeSMRlC
NbqNO8IbjXABEW481/3MBg4NrHHe1KcM/zDjLvCx0JhamQbJdZCUOgs7APGzbLxxfCeFKL21Ei9d
TTiRdpGwuRlQTB9yx1ZPQazGbdDlH/A9gzEaa0BkVBylJPaowbhnaiavqp662hy64aaxWlKKnFq+
wnIHfs4ceXwn+5Z8dKITP2VtMW7r5COVhtltFcQeZX5pFpyBevmCJk0+G6HOH+yH2D/VxGuvDfiQ
t37H0h0pl9TLPR8VA7eQTRDoVI8h/BZ4G7+m7s7RT1NsgmsjAsQdKJNsNRUntKiE+RG+nS2kG1eX
EmkThEa3R9nQuN6ipvY8T9YA5lPP+xWsh+qAh09d6pyE8qml4nSUAdZyzjsykHt9SvS8+6SSybnj
2yEwsWZcX5jE47Zcz28jWvQlRhWeob4YYR0F5XMLqUEulCz0ndMTK8R2k5z6pvC5B7R4R2TU+I48
cHxAkDo+jHpVPzol3C94SmKvwsa4b7Opfkwa4oGGsqRQzT0+ET+hcV+InLSnhYN1luYzo1iUARR3
dIhr2E3prXSi2UkdOkuCeqs3EfBvw9nTTLKWOYU7bWArUIhWEbHL6+xpDZkFcZvtyQeVV6Mr+xUa
JvzjtVVUBUNtukpZk5nVTKTvuIJQKCrY9DYk8GjjeJG6EoReLDPMIV9Trm863ibd5NlMQu+M8oU6
rfsUwPg/+6rjH2VBuJQ5AG9j4Df2e43+N51fdk3Z1x+BcIJh5BqsBaFsPljZjtDUfNExzf+Kx2Oc
eZ3iOhR8E8QReQu4DtDCNUvk5Im3fK5pKF/djNCdoQ8SxMWDxvaqjILg1tED9Wb7+nQu+mh8MHug
5QUOTvoblW7IEW6YSDvGfUx++SoKyfkyND7bOuR7nA3x649HNGN38XWs+O2nj+g0NfFNCKcE3Gnw
/LOskM/E9gSHDDp6r5H0E8VVfh167zibEADFWo66sA5ycx/V9otujuoJTEL7KcToEC1MLY23pl5C
yhLZC0yC7msj8DLLxOahHEigHyjqrhxXazbc7PKapkhc+01vX7dYPu+LuJbPLRuoFxxDPK1zIBY0
yvLFyu3xmFiafTd4MO2hznp0f0VfvoaeW7PcYSa1QI6Vrj5+OS/iJSC0VrsdMKU0Kxhd07n3RjjG
tZbejmUD0rUL+XyMhoQrgnLzpdPr8a7BE2zAYhjirT3E1ZvM8IPw1KZAL8fIU08oDPxTosNlWDu4
xK4axww989FLfSN1njuSJpq3uGrFc2wUeRrumCEUYhc3k1asUeH27RkKZ2AfehogcWul47hQYhgf
DIguyxJNBGbJGZigqJ03PIe2vmhY7lF/0vtuwHZeQRugjOIJIwkqvWn0WrvgtbzV7PZK5DLfeJFr
X6aKuHrbHSzKxfAusIOrHBkLEzJeIgyz0R4h5ENtC2PdZkG7bsX4Ofbydi269ksamQytivBtbEW0
jyYnBB3WylOZd/06A4qyxH7WfEEAoNZhXB+HRgWbrK+MwzBhGzXGyl1mrh2uQhnGV2IS41nzZQd5
bQoOTuIdtFQC/cxUgebdD9QeLkFGhz6IpSLwepHHaUdKd5a94/FpsG5D0d22tRixfhW3CJPiNbsO
/wi+RQIxTfqNE/HCqiQ3jvEYMIPzPerYkS+SPlbf64XW7XKXEAbZWN667DVzKS2P1xJwzzbSXWLl
tFw/9vApdm1o3AECJ3hNuPXJKHwrW5t89m+17HssP8rXpkU+8R0uwqzpdqaMcaYZ/UtRBtUJwyTo
CFNv92HvGzBAEa1zhTlqNQb1m1X27Ta0Q+48LnBv0xEIvYhMkhwThOa3iIaNBcbFesN6LBoWUaol
FMbDi2czie2tdDgWbM5mml367GtB6S6dwRm3PgCZfuk6jLJ820MmhfqQCtFSF6ozbyPgE7t7yfmq
r0YOEXjC6axTZM9ZnkH4ymMPuRTaiW7uzUESihdFvFU1SzFkPkXJEzg2hn1A8TI8TL2VEKJIqIpX
F7s+Q++nlQdw0dMr4Sz23hzz6V4msgxZ4flI4mwfO3Qw3sSpNa26oFUHRhRi6eCX5nGHqorFGyMH
1pWLW4uU4mA0iAFDg7TQpbdReEDXmp9Ni96G6olVI3lyHQLvme/1GxHMfF+/0zYqyspFGxI8Y2jc
5bHe7+MYLe9CdN0q1EL/U+aFxhaWt4HRvYz2XjcEa58+5Yx5VcSLtNduEct5V4aaxsPIgpgpnu1H
AkR5lX8VNF4RZtmTPzQmCIu+r1AX4Qha5XjAzpI93F5GOWvFGPTlMQNb+Nwm7igWrt0zaTV7Euqj
kfEzrM9E/yoZwGcrSCjOsNITvdvjp/EZEWnVtjUy+7nP2jheYV9PTqIJ67fcShjtGrXoppCRAQrH
Zx8z6a6P8BguGDfX4IgH1MT0td3nMjHKZZP1c10g1WUYmjmis0PC65F1cdSGbMakjm7i8vjl0R77
SHXyVV2KZTXUNSjn0o53Q+EF9RL2vn094mPeQV6Vn00A4UBDJRRtvhud+TUlEoQn7qHMmHaJXRcn
lLckDBWy+cIYnoFC2Jsl0O20Zk2Jk398LzJW53LUgltYgPM7kFImuAFa7lVoM8Fzo5j8ikja11Mc
a7cakeD8uggtN20as5cMdaJucoq8aCWcQX4eZDvJdWTzJRkEzSywfarDt+JLAci+T4yx/iJZqkCj
stFWL1DKZiAIxtFcU4Y6d0OqKMvmgrFYmx1JkklkZntIecUJfcC0E3rdr4in5DCuElI9cmmqYBXZ
NZe7n5dkxoU+ImvTCq/DnEqjsB15FU4ffwtfPVkaHlBCmNR8KE/5+I6jCpw1yZjZ3lfKuOEYLL5Y
EoLHSgudjlu746gMOYgW+RxsOc5T6MjQ2k9RrPPdGUrziiX28XEbIr86Ip3l92+7fhXieNuWFFvP
sgZmX49z+Uue7rPbDNneZFS7sEJh3Hv5ML57IzpNKF3MWJPYXxhxXzM1n1HBC+Aw2T41fXX5+x6G
hdqfmggXHQtNI80MdsGfVVB2q1mSoRqEKXSVS5YPjP1U7o+bchx4KuKiX4FMct/R/3a7GC7LBkLb
q5fIxx7o+jq2uaY0IgpWrczLc1eZ4rmTsjgDPE6Pup6DyxdpNJxlCL33WEWRBwiKsE2dXLpNPPBB
5nyFu9CP7WvdYEBaDTl1Qpb7Jy7uaVMM1ngUzFZWlWp7Mlz5ZgmZ0G7h4Dl3mu2O77kX6jbWYyG0
hcVgmsvCod7ANwJ4nweHtTm1Ek0KcZZhyv9oYuNZIG3IeQM+aqShmNSlQJ7Id+nP5VJKIeWju1wI
PXbuhJXKtTkE8irFL8QKR3H3G7R65Px0n3BVExfg22b2Ullt6hyaDLAIJGuM1Y99zKJRGxj2rwlt
jPQlTp4g03YWSCKrWtpINmqx4hdi6VEGAiGIshgfuljQw33KVbIKpvk/CCikgpVee2QkkpNkeB0T
WM884maovxCbOUhOQWqpSo/Q60D95jcOC79cDzz84BQHSih3MMh4GimuaGP0HV0Pj7Yn6kfynZyl
WRj2sra1slrmqFzPH6k1XiTk5zFp000Vw5ZuO241nWggxAsNhVxUOO2nJs5e3Iq6fRoM+UyKkRWv
qjHuKOb57Py09+LDNPHh87Jrt1ViWnuDF/aSWl28DVJSaZcekuQ9xoryFfx1+SpGgzvZzEwT3w3f
p9V41Q0dgHcaYRcs2p5my8mK+rHIqSGHwbD26MvLl2Zu+/AgzuKehpQFAbe0W4AtaQFVh0xR64Rq
sXBJzg1j95JbVftJN4iPxbZevto1wWm6oLKVBl3Lqiom3ryG+f2jmdDIK5XJq8ZFoMi2ZChfQbuQ
F4kT0OPfi8ZdlpALut08MAOwb/BfMi1Xb0wb+VTmFUNNVb6wyYrdFRFnEdA3piFmz6sObIqj6yMc
2R7J881yUz31o+udjJ72tgZVfwoNWR1itmMnB+Q4iZU5cnDdtOHGFN0nJvy0Vf0Yb72580ZGLa9y
qP47Bux0ZkDn3z3e0mkdexN2E4dx9ODKz03b0ObodnhtFERO530058nzDy3wfl0+/taD8BkeAOPi
wSiz+Tuw+mxvzK/qQCfLRZL2K0mT+sK8v90MVY7khx0IydFdTEc6Nw3xoNM4RYNQF72o+GZY2fPY
zmegLEJk4/TY4zGF3oaguOrppy2Hj2puBoGSjscpRGk2dEw1Ph5Dc6D15fFW+m5otfEsQjpNC3jt
5aPThogIjJeMuqUDCA8nEN1HVhjxLhNcZBmGsFMbOPbyoy0jWpaPQSg6CgY9fPTzAGWKvXGTsnOF
OBC9Y/sbzxOvG0NpptrBoh+YQXghUwOdDLFbJQU7JwoPn/qQq7At3eFGtR1DEZh6ExJpoi2Gid9o
FlXQPE+8gqVPkIEZOMi8QmbxS+xd5RqODG2kDInWKdg7gWzK7Wszdew7LhodqYHT1Y9NUjGJmUSq
niZLMKCwm169heRtrGudaGgyaOmXAfbtUaPP9brgWKOTCg4fHbLm0Vh7tVtUywII5BxgR5Ot0A2t
LYMf/9E3uwTSnYeUmVlRErCg6dpXnRUgZYo7x5dkOZeUqvV08+3RBJewgWyS7YvSCG51IytOsmQZ
pIATnLymVk+lweyCTRizjHauUfrciq47QYW7hLjF4a6Z9Zcy88uXAb4pzDvln/C4EcDcs8paRLaq
3vRizkZO09ZYf2zWGJfTIia80/PzjLeDY7gOyvpIvC6TID92qTXSij8O3Qd6GIao+2ieNvYqmW8B
CuMXw+OREFMLrl8F5Suoq/DaZbWxMar5+UkFhRcn0SJz+HWCeerwUVZ4PpOpMC3S27yH9YX7iBMJ
een9x91AUnF1aL0wuiZpe+73GV51mi2uMXnYXBW9T9CBzyesRvSQ/Zyf7edgr52SCkTQhgBsT4x7
6aAaiVu+SNxA2X7M9OI0WaQ/2yYvTj5/B7ja5XNd9+Q5guekKOoNTjMRdp/GnvIEqJB30svMvNdy
0h8CzrGnsvbkc+RkwYG+0Vl+jGKwdYi9x27+QAhkv0oGBhk1pwmx41qdbkJ0jISKDER/NhSZOS/2
lrg1pk8lNu3lqHflS2ZqDAZ7ZnVgLCnRGgoWC37CymSoh71sfng+jtnB5dOgYx+PVSnCR7qpkcWi
mc91XD3Q/VfWcFPRLD9Il2qJHRitYocD8NrVOd4iljyL1Le4tdDRU1sTZy01PbgdeuYUZjbk8R7o
gzr0MmN4Mx+VFhJwYsmt9HryTHKiSDhk2qBB+VE+9wMaN6aCU8VUsGDbfUYtbtxbym2/uiRobhv+
6mhmyNhYxj7Fn8xK+bnOK0oORcDBHi4bxSPRa9cmhvius/nUJlez9qYX8aqAEOrpPHWqUIQhT1Ql
iSDMY4SDnumlT93S2jFx5iDc0IJQTpRlQDgRoRWrruULH710IriQUebHv/14MSH1ccUAFaze7J47
VXKp7AtcQDeDqY2bPCJ3oMTjClFUqEPo2hwy+CPDayHdycZQGk9nqOtUwmz0N0OdvrdiKp11VNM4
fAzo3Fq+CJOOoK8Ym42IE7qVNNEe08DxG/d7N0v6XeuJ5wlM1mqaJ+ANjeya/Hl+WFq23qEJmvLb
iugvLYWoqn+e7BuYdsEsYC60YJ3/JJNuS6vMZaKanYgZDi9xONjXrtOY67Ah5X4UHG0gCOS6CbEc
uhj+1kltW7uJ4iCEAH+rsU09oKAZj8BQ1FPbCnHdxebwwJEwbf6+tjbYn/y0hoDOYMyuDPRwKOx+
+stCTkhZJFr1TostnYiUwrmDxWojck2iaw3WI+X1XIgaRLXcp+AaVzqjjENKzfOaSEarH1/23/+l
fiLEz8sYjM/m7FJEcS7+tBsJW55khKP1DrYTyd0Aa4JV7bXqNPVat4WrFa3o3qf1aFnMJoKWIVtC
cNnWjeZOTnTpbdLzUFmZw2kQ2OUXDIbuxUPFvOaUpTDUqlItVIOI9u//5v+lU5ndT/O3j5nUYljy
x3VHZQLgw5Pe7ELNVIfAZ27D5J7qUSWqumTz8HWyUEh1nIkv9cgtUvQFfWHb2L/uXv5dVf6PVaUL
KveHb2312rz+55tQ9eo1x75BNVZWr1/KHzeV3/7MbzaMOZAQzZQPb55Xw6Md/W7DmB0abNKg7wPV
RW7Au//rplIYiEpNXK8OPh3IF/MS8/um0vkFLyxLMIjcDM5wn/+TTaX4o9fO1nknyaH2fdfjxwlc
XX98xnQEDQCcJ+2IolqBEUfY7o3tU9Ux66wObG9cdCApVV6UbFFwcZOcLD/L+3VIAoLtNgu7HIUk
/M0PvNQ6F5ppkW5G+hqy9wSHNiGh9bZNk2YItilQ6jg+QRPveNMm/lNM34HCqSXwZHJZMFsK27wd
ohMMBnuc0kXvuRqYcw3lT8d6Pj9gXbRaIrr6maZLNmmnP5tFBdGkdCC4j3eJQpFurT2BTe/iRUMb
+ddx3KDz9wV+wdxj1Lq02wKLXtZCyRoXLnOgFABnqZjrfzwL/741/+OtwZU3Az/+esH/OJbYnsIf
35pf/8xvr43g3bBMF6X2bBCaUV7fXxuDlwMfMYkvxMh/SLG/vzWIAjCq0jQJnLNklfAw//rWCJ23
xudtgZ7Frnw+S/+BSvundfts88P6jMLAMAXxGRZv549Eq6DtDTKHVH/V5qREZ+Qsff7h07j58z6f
D+vHi/RPP+Cni7QaCJeRAz/Ao7WMWBW0/ivzhdinz0c18dsH/19+1AfV5XezMSeAQYtmcdrgFENw
/jPGYjRqBr6AtM/syMb5nc1/fYexfqfKfmHCGnqgVADt6rBm0ZFNnIr2GBcHZmwqzL+UqvRcJo+s
a3CPbYMq1LcIwNqvsafTbZzaStSaOOqOnPYZ6NCguvdYYR0doZXB/Yi5JzFj+1A3iXGTqBILCPFO
qmiY0DCv8qzKbjCFOFoPAbZDjLayCS6J0jvls86ulo4oOpeAhJI1L+j8kZkDyY2HypDxA6kA7TEL
5mZ36piLbPIuzqz86CKyWtkDYYGekdr9i1YSGZ1qYc5kv4HHSyMurGuhuXI6JmxStTvIJ7Fgh8bW
ztdARH870tyP8+3fU6No4mb8H6cGnkMux9+e3T/dtauv2Wv/Wn398dT49md+FAX5gsGuwDdOrYyA
5ddDw7V/Adzl2OROfb9PfxcFURpy+5LOYqOemaus71etRyAVNgxURja5LbNe6B8cGjD7/vhWU4my
QQOvpBtk7SBZ+okPkiZdhMfbV7vRGaMnzHWFXIHfxIQ3EFe9HNwqbzZSjTdE903MHMii5CzzYcHr
ONC7uCBJ3ZoMpCZtDuekSB0aNL3/OjSOtvL4h6PsxaqQhc1NAfNwgbPxRWiUhRb2qw0rAoQxlh4y
cPa5ovkQGTvltn33TSrBfvcqSxitoNHUGaOR3iBm0ld1wK2frtqScFzNzeDsRpVaIMGsjgP8aWDc
FqL9wU62PX85E46CI/eIS4I9qQbNbeGH4oA55CVxlfYUZ7l2H6rCWQg1FFt0iMQgQt9fUP3L62mg
JciH+tJ5ZJdqKb8kCPEFEOyLMNn4+H4arUbb0hZJWDRbgM/vEp9Bv9D9Bv4wDKG1LZmym6qBTz/x
06POvDiEOCxitzk3SHIWrWleYsO7J0bubIDZXkRAHSg9jNMAMxLJdkGIs9fP/0JSzZifhCefIBhC
Uzea4YDK88V3cLfTIC5m+wKRoi9qXpC6ZXlHRMf0THKTvkKqEREyKttNqzPtgMO55BG8H6xgTWgk
Z03gzH8FBEI2/2hfDdYW7LJ+baWatsGzR3p57WefSnbgn4zBKrZWQeYfwYEW217C1hGKKNIH8vd6
kje6w4g1IHe2Aa75WpKecC9xg8IGCWjiWXese2YdNxmRy4E3eTjhGnU9QoB9Eql379RxuS0HJmFG
PaK2DFIX5YNv7HzleGtcpg/ZJDW1wEH7EIqAWo/ELXfphnV+Mf2gfdN0jPZLV+nWhcmRdZWTRWig
i44GDw2mmtZZVNxZmjGsYW1V0cosrds6azDfeUGxggzEhH/ePSfz9D8CO7eE+K/8bfWxGQilYUBx
GUuwTzYjX69zyivTGNrj3BtBhq80+8GFl3oUuaO/CH7xVT028TInDTfGnJiW5cbwqqDCkDSyZieO
s9mXKONx5yZMg7XCnrStVzGHeB99tz9nZgUaJISuus7Q2+Iyhr4g88S4+/eg//8c9MBrZlzRX5/0
V1/7/5y/DvHbH/qqX//YbxUixjt9FnL6dBQOTdJvhz090Vw8Ig1F/enP2fG/NVbW7G9nmDJja+Ah
IGX8/bSf/e0zXhJXuqub9GT/5LS3f64RAV0InkcqKttwKKx+OuwZuJIHRILCqTJRlb9igGLWXggX
/bke+VrhL6weQNe4i62yzrV9iVfCrpYQ+opdidtpi7B9/FJZNERLTceSPMDIno5D4bhfVZW5K0KC
nGpSu6IJnbTmRMn6UdzBOJnIll10nHMSwhZTb6YGIyole51OU0I7pBP14F66su1olOS3tgm5Gj2U
03eN/px9a64moZntEq+yTtsVzy3YMDdj5q+dWYiijUbN+Wa5J6yVaSxpBpTfKP++mfOTD6d+zfVr
rD3ooJn+GH8z9JMX4WHvr/W80I8xmqZ2PenqLdLqauMqOd6wWywo2QBV8EedUZte0APiE/v3Bfz/
vIAEtfE4/vX7951H8Z/y/T/U8m3+OX79ser69ue/V10MJNjg04vNxm86K7qh71WX+wutG5phXrlv
hdfvL6JHQzZnHPoskCk1HN7R38sulNO8i8w4mNyZ/Ff/pOziZPmxl5pVyzYTGINYOs4EUJN/bNZG
o0hhBA36juQjnP7vGdwpptF7JBDzvGyH+PZQYxzgJnsyUkoLq1798OH9lxbL//MQdz6OGP+AFBWc
MT8NWUrbcaTHzn5XVqN+FYin0ZenukvZebFTMWGXNapd+TIsYIoGZylDhi0m3UZvPouOyiNaYYoL
z/qkLQi43zQ+ETiucaVmDz4y5AXWpZXWsQ3S5du8miM3ZtEWgMrSl4Sl3fz/jkIsYN491BP0+Lxe
1Np6tP2dKBtmMWHqnJTeFeRL600JL6KqLdR6KQZ6q/jERH5R8UzsBpxOOYJgYVrHsO0hLSQTmL16
nvOwEvC0MzcqC7jGqllYnTCEXLj6W1bys+wAF5HjPxuWtq5D9xW/nLbmTl38H3tnthY5km7ZV+kH
aOUn06xbyUdwHHCmgBt9REBoniUzSU/fS2RUdUb2Oae67usi8ypwHB/M/mHvtX3HDC3HhdLvB3qS
bMe62MipDLsxv0waqI1WrWnU5VYOzRsFo75Pi/Eu7t3rTFTfl3gMhywPW0cVezQEXqCGoQjMqvpR
Tpa+z4mqC2Zd/agsBIHO2J+ITbbZRDRh4/T8Mna1uYlqJov/1OT/Z/jzL9o4w6DJ+ssX5P/p486f
37v3v2UE//qhX0eKb/9hwoSxGEhi1betvzRyQl8HQ+5qsGA8+tv0Z60H2D0wGHUZZ3Lr/vNE4fL9
N04QsFm/HyH0k7bOkJbkTt10bJ7Y70fImo2gs7+SJ/LdfZncLHnHsZUHJlaHuTpJN7VmjNapjAi3
GTWPiSkkk0ebKNNjvwzRQ1F60RJUPP0bAradW6PrndOU+YaFIYlpwhqLQ8dhdtqOFfX4zerL8tx5
bpttpOGPO3/w0rMxeWYIiSQegkair29EgrOJdug8IPrCiqC3O1165V2e69XdoNR48QmFzAirivPn
DozF1doN0m2yTv+mIyF9HvVEw07u1f6lYMx06Yzh2WH/dkR2M2E9d+M7B83GuuDuLlNsRjvT5+kv
EeoeTZlkuTdYRCe0oaF0qO+tBNUqFJe2eBzTbHp33bI9pH0dcWYsDhqBtunvqFuSlxZJMyEgdQay
MZa4zRNXPLh2mxAA6WRbqVtQZzS9mk4d8r2T1/ZPOEMHxIfQrTpklaYR6mazPFYDmeC6mL7nE86P
wIR1f8AAk55a+mVAOo3dv6XVopCd8h4+FXlWnmnvkh0j6uWqK6khg2QmfauQnhtmFQvkIIu09M7w
++ygFfGtyrOM7K2JbUtiQ9hh8XXQVa1OE2fbCfFBek5EydE4QHZ7wBsz7nLiOcLByY1bD0HjYTba
6ob+SJ2svpoPSJrMd+qh+irzxfAA77GAwJNr3AdGM3DWJoZ3RKU63hCgoe9a0pMI1ymqe23QzQci
q4ZX0zeKn0y69EcDMNDGyafqFpKDdjaRA4OfHADfxc0c0mT7d3Csy2/gDSVtUFNtqsHQt4qAyz06
GG2rmd300aoe5+nQ1KeMBCmC/+Rq/+SDE0On9f0fq3qrC9tOcFlAbqnAMRd4ci2nSu6rnuTAwPHb
YTvjLA5KvZY7jzo0wIj1Lg3pXVfrAt0CXXO2CMkJxworusZ2NQTah49HAKzcSs3PTg0M50MRN95B
l07xmVX4JfWGLj3N4+U2h67UBJkdaT+8elVQR3EPo7FVuIECKtzxuqIq5vxKsDnmFL4IGAlK0wro
w6LUXzrcQSfHz3XynvrxhmBK0I1108p7pBTLK3Inw4aV1EzXLJjjR5bf9q3XWkHnNfFeSre6A883
XAwg99vcNgfAaXLJSz6TlcsipB3RbQyTvXH6AXBaryoNhLvHtMDMMtgKvuiONn5qLEetsPCFTeiH
Aod8hGeOkeZuruAUkN5CrNNYYlbVGv3GTUSlVhlaQ4Od0o4nc3tbxmV82yWWgarWMd8KnON5wHd7
eumjxI1R/o3zAwknJm1rVWjbJRPJwXai8mpcJEDCUnNVFEpMI3KHA0S/zSJTiFCzq7w8a7kXP7sC
khb0jTpCZte22IogMiwbxlQfxTpkD0annG7MxS1n3ho7RbE6S+05lj0+TPp0P8K/Hk8bMxXwlRYi
AI3dhB+3ZNDTTPdGoYuXro+qkfhCo2vaXQG/SZ9u6Ki8Cae8GbMGMnadbNgzIeCdHS/eTji99QcM
WcbsPMVu2QyXwUR1eqhJKmIcvTRfw+nBy8qp2VA45eqh+5peo4Ik5CVMgKIo+6mESti6W69hxLTT
xnHIPrDuNCLfEyvRdZTClM7/qQP+RR0gDNrz/6kO2H/WXfx7Y/HrZ36VAZ7+xzoshY7+1Y6zRf1n
Z+HZf7DgwZgB0xARLy3E/+0s/rIr1f9g90/5AM7H5aPzby196EF+LwMA6dHm8GC6Q3FCzPHf1j6+
UaNIr73iYHrxq0LjGwx9Xm/RGH8DBffQ4aHG+tl+80rxjdtW7EbEJv0krwaEjdtFa42jCXvm2Bc+
xYAAdeaPebGnJwCCprVwFaTf/Zwj6WC5coFue71+0uKieWOwrF80gMT7hZHXxiSNMGy8NN0Ra4bf
JHYvjIe9O7WkzByHEq0HjoxhTU8zVdtue80AOKCs7kofOMVleUtuBkC0wRqCrJiQibrLvd1H9qZ2
lRuKWY2PRsoVFs9TdEwIBeB0EfdqMe19P8QvjsWeBHxasXfLIrkZ9FRgjuI56XqV3gmn77Y2RJI7
z3QRQhXPqH+C0QTPNreAWktXvtcjaGZpIhjvcGp/T5kSX+eKM9H0FyIYi5b0Y7TiW7K63D3WwD5U
VjFtGbh+EFBoYioxok2aOxb6vPHdkDML4kFyn+bljvEjiq4F+ReS3XjLu0qipVtdyrbfDV+cUu02
mjNyVLV2OjSmr4LJrcXFb4zi2yDt5oVx7q701T0T3/KScyTBFPW6Mcg8yAdhNBY3XWPGamt4Ug9b
pFLfxqVO0feiHDR7EgdMk6SmoGE79dCaWvRgMCq6RmO9uIFW2gRYDE57Iqw6PXd1ob6B++0/KIX9
56k0CQ4D44S6rkYNm0i/3PYqx9k4km/tKmICqsIEIVgY0j4MJtI2N81cDIuuLJ6rvLKv7SLx9/B8
xdlC0OsGBGwiKY71pju5rbFK3E2U1alvwCdMRjyqvdFUjOijiP0C056rVlsYTLdkx7SwXnCmAMAu
0zOdYX09Mz6DnOdmb64hNSDbEWkoIJ6i58wo6gfPjMinKtP6AWyROJvOVF9bCsEiAKPsrSEdCa+9
cNOYrmsRuzIDWURRM93NtkzP45DTAo9A87d9SpbKogj7MBE6IfnE+Isg3rPeGTMXz3M669+70TWP
mmmOWRgD2DzEa5p1l2Cu5QXUQjBuKzKRcM5HWdvV1TTwkK4ByGFD+Nx8Z8R8NG3MQfnB7iV/fDvH
84UrgudYEqZ5IXOuvu7p3vPQnHkfYFPxgGwBknbL3q/azrKcN9NQIi/k+7dPyXiA4AJrYIOBj5Gc
mwzFcyOq9Dy3qNZTpA57MZrNJw676S4aYVN/PbMsQv2EuU7w8GjA3ft4SYBrAVogQS9KvHtrtXta
2lD+LMrEuqrsanzsMwtZsTM7bIHWP3wwy/kyj/bw5E4l/7BY0YC25BAhTaaet7rfyz1Spuzt65PG
pofftsQ+eEgxG4RuTMpHN+HXt6pZIedJnI2hvbTFs+UrA/ODloLgLy33HkufdazzaLqICdBO17HB
MOLRJRBX8qaiMauutHLhXTOw32DNK4ePAU8N9J3auaX6na/bSBiXSM+8i2rXWGc+kSBFfDt68w22
S5BJkpTlz8QDUZbfd+6Mt6iI2cOSPQwMzcnqB5Ak/r5mj7D9erdKVdYPZAD1XtjnEdtjMUgP3TWv
3Oxa9km0vRUFjkentXFiHn5cs9fcYuJTv/C/1ANtCNEyNNoav3i2nPsqOUvWceRRPsoWSqe067cq
BdeD5yX0vRtjGG91Fd8lawFckLtMJuhPW/nXJPqg59dY3RnuZerNnSmT/eAszzGN34ZCxzs5Dg+I
OI7RBkPVZgY3bVT1ZeAeG+kEa1gaqXAuVpM99WQtnR3JGZ4LL0Z225ihcCsrTMv5DFF9oyaCeqP6
yqzc6E4M2nQrJiPbeXU8Y9xDY7536jyjHJfWdm4oWN0GWpWUbJQGL2+TjdaJjyqeQtkan21FjlmL
pOw6QyVMS1LCmDbsH50YDpVn33NNFiFQUfMWNEv0qsXGN5KFMWvWYIiqvtwB3B5gXFVyq5V45jI0
oyhhO7wXjePUDyNDecLgsuWjlHaIF3T1JCX9rhmmhyobmyvfzfcmGfMkly68wXg/dlM7RkGm5hzh
s3hyZmwKrt8e82kujzrKpgO6Nxw23ohEv8qJBPLBwMQL+Ja6fm2hfwZTVeunOdfdK9QE6T6bHZ3V
UPSqi7INQXwHo5h/mnNzaVLP/UwNdqOWavU319HAr+X54yD67B3kDlmxmaTHRXgXYnzog6j3h1X+
ZJGeuSycB6YsDjFUMeivRFmFS71hS/bQlv1HMg/RVq+8+TwlnUKtilh3QINrAAsjZpIhuMTgXwvn
XHDm3/OxAtblROIORL7FMJC8rbActeyADpsCtweD1wuj+ewB2m/Jnz7OZc1UomneR1bIm9YjZTgT
8ptO2CK9Nre9b7T2XnPGH2A1XtvERJfcRk9KNHNgmrghbVPlIC5t7aazgJ/MFdnmfA1pBav4Gymd
fVj15mYQundSrBm2FAneB+YieXHtVDzhIlprCHbtYW8585UipwnpsRF5pDHL7ClzgYNZvVV+9mxB
P4euK66gqLpBFffRppaa3HGnq13e87NxaW7nZdDPbpTV96ZlTps4aamssGEHqum8cyMbjK9kBL8p
Q5hnB55baFNhBR3E3U3Bt4iTfEgRfySV3YZRXnp+AGg9PskJwNlVb0QCnyvE6zNOs3HnxW2p85WI
nwdn0m4d0XlIzeBc8CbCzULYom0lOTcn1+7QNIuKuUbd2mBlrEVxDU5jfa494V5ZUM+2UWuX26hv
o2e/TYeLInQ9A4BAZgbe/EpjauPZRyqFfC/0ut2mExRbVrS1tU266WdVGsatIInoSXWpOkBAal8c
wuPxaxBCHy9+EipX9eQpNiAE3YWAX6qwUkrtSq85wBphtIc6gvDddEMWZtEc7WoW3zytot3PVvEd
9x9Ehy5St7mj6TddVHW7wqy7fWugPBhVHoXUDDdTTWaqpu1jA/F84S2vWdfVzSYjlJPJT9uxF89F
gDq52JWWjhCvy609EfE3E0acfVdrXAMja2u76OXdklPjYa/uubmkdzurtnhos14dPBbfr+YAwxF2
2adaVYetMw87v3HiHR5xLPcmlMuuw5aKbo+vOICXgPydCzdofUt06IiZe5yDng7v2Wym/aSmGA7D
8jA7pnue8GGyO/ay/VyJPWwUgHCi25KnFn+SKLE3B648ibx/K9OMiTVZ2lepFD0Q6T46qjY6pXF7
sSLb3sC8yo4kVk/XUeaRXMyAIQH055jLxc85XcW1O2pOKrfZivht9nlJyOg9EWEtO/GxV3HAH7yO
t3yNqcNzTMMPjcLXyaMPXVXM03Gi/l0wPYxzHmZxmdvbuc/kZvIapnn2mE8ZLDk5EnlTAkkz8FlJ
ElMTaHHSChwzqo0Dt+HLVFr3wHblrqx8Gm1rVA+RuyxbMS/9Oc7sGlGJbd3g2PnWLma6XRrnkvq1
Bl1xQDrhV8YGFER2S36r/b2fcCVkRrV8RzA23KjS1XapkJ9djIlV2Ya88aQk9NpzrSswYIrTL+nv
fFUY2Fpwl8eUKltSfszNrLlvpAus+cJj9q6GeA5TrbNM7vvoqtRSJ4gzcmrzFq4CHO4pjBov4aqE
7jgNVrrH1/lIousUAD69BkaigqLIPlwDzYbVlpA1BXEktfUjKYx+Ew2pfzVjha0YS6xFfzx3w3fd
UsMHSYHZSamqp47viSFB23rsMv9Bl6AmgpZaRtvkcsiPC55e4H6ABE5W2gEnLMrlpQBHfdMn5Q8a
UDJZawOGKbuHxb6G7Vdv0ir50ZYlt77Wlh8u6jXOrGgYdoS2yF1HfvIr5YuzNQxzugwRU1RqoIuZ
ZvatmS1xHwiUFFe65QNOnBe+acQ6PDujGq/BmOKKYVqJHGQeitu8alcrImkm3yscSnEQZSlpPCLh
KtD9ziV/IvVq6oDC9z5YQnFwyNgWl3SMvZehc5vXxSxZpLDoxTQRmZbGke/6VTjqqmK8WtdbWywe
yMGh3qEAnraeWI6ADirM1DRZAE7zc8o66FWQdchEykWDZFcJeeIwnWt0NDUfoZiiJKs9hoJV6g+P
iK26ONqiyKkWE2UH9+Ayh1OqFjKszH6Aw932Eh5OWR5cc0gPXasaILTVZz6BYOwB/NA+9qe8Gxkp
xZ13cUpd3sXJ0IDo8ZdNjqQnWFbXkx3XjM0iPJqZ70VXPLEnGr9o4/pJvYNJ6x0LR4v/A2j+pXv/
V1MfpHfo3v773fLx4z35TdYh/vyJXzMfsap7oS1gTUPIh67jL3p54f6BSlXYrFAdprn/nPhYyD10
WFu6gcXDxuHBMOgful/BmhkZPapg20Y78e9J+NhL/z4CWjdPJrsntt0sqASA1d83QblASgpo3Tnb
iaUdcdhM7TWkQo5AzRMzYTLBRGSVSbPJyrx4wCRq+9/ZWHwm9WI/WG5uwpav4TGzLXnJXS29RuM/
kYYEjTMKGvhzGPoX4rWA3C/zcNEKI0bnFSvVPul4O7Sg+lPAmvvo6qngs+zsGolPy9QW3i7tk+pI
zIcZuvjywnIW8aYqC2uzEqx3SQrUa5v54z1rm6FbPavRqaBcPPWjMexnR7ZXht+pDyYGb1Y5UNn5
PXoQVbsIf/GYdGWuh9Q2ztEx+3ezy6BpTV5Ck+EaAPCXGTaY3tTWjjdKO1eZFk3wSOUuQYTcRWH3
p17XbUZRyp2NBIxOJ1XZrZYkxosE+G/RHG8EJnkQGol+mfu1Ixpb8hgG/aWAj/I02dN8SzShuW8M
Hye057ArIlTelOW9lWntwRo749yVZXccGUaEeobjoJS1OuIKT298rXj3h5YWq6lAkzZOfs0myt8X
tSa/97kbHefINnd5JYpP9k0do3NPfCIa9VqII1198I30E499B7sjnb7ZAqMx4rQs5r7wSPIuC+/N
MMZ8a7tZwmtTv5Rp+dKSIXnDQH1hwa3kazRo9pbCr95aeeqGdrNCdV0oVKsPWtoiMFMfGO8yWWuU
QNIc10/kUyt7Z+eJCPYpE6j8wCSjTQPAmKAuyZ+ACsn9u9elCWaRRA1UpU4u4ouVi/xunvvlNlK4
8ZPFak+JCY82SPXJ5reYuHBJh9qTT9TNrAbM9EE5fXGyy2Y+JRRPN+TdZDBuInWnurbbVX0//RgA
BmPk0k1iNnKt+UkqUQY3RVliXwJcPVGiYSS1q/40IDms4dqq+AOohRYWTWMfEsFoLgCp6V4Lpg11
kA6ufmbQRxBS5+M/7KDYYHRyJAAurx+fke6NCkLGbOzwNbbcFciBNkackBqZYN/OtRJaTV0a/rUs
wXIHQwNigIa27na+mk5py5NyW5jV/TL3TzH3IgCe3Eh+1szutp5X+DjHkUF0tvbhLEBnEHBmQE2w
jCJp1aBuTzjqEVOahNxnuv/CQCoPZOdeNxFDzxKHDAMKW//OIrQgB1I4P4B6LFfLVJLl6MjE2a9K
xYA2Wn0D+WLeaXnkQkSC7DqCSo4JE1DzNXQgawg95sxXnpOrZlNGWrKdR2O5Q5Jeb5eWm9lxpgo2
l2kce/DBF8A39p5A1PHZTuz6Hq1pMrPDRMvi+jG4lcacA7v0vTL0fP4kp6b6CozCJ/zHVW2wdHLe
ikVmlFegjFNCsp8kq6kAR47YJTgINolPllw3WNFN4lXdnQNQSERe95jmmnPxzfHQVeZyq6gYyBV3
r+yRrzWTZWM6plFJcY9T9S4rDW0rlOhZ1TXe/ABDu7khecV4NIgDf0t10W40h+Z9RBd39OY0iY4V
fgJEtS0KWVoGmA/6DXUnLXSt7mOr7U4zcWUhh6d+7kfebsZ85LqUKdES+Kk3sal0yDbig1m7c26s
tjpCZDKOZT86QSr6MpyITCRxNYr3YL6STZQ2j2j+5wh/rjk80GTNn6XO7m3R3PkASMK6hw7N8LsT
TJHoQJIQJ0i+d0cWTmnEQa4by3BN1Mv0VBW6tQNjF4cOktUbfSLTq645iPwYx3GEp+rVrPXkMDeq
CEHi+Ay7ASszL7GdVy7B5YB8SvsUWasFkA7NcHas8Ser6fps2Wl96WFihw00cooo/T1eyngLeg+Q
VS3l3pO91oUNtKVXuHXDqSuLS89UlCwR+M1m14GMX3XiS0UXoCCF3Oki9W/7pIO5NIzwmKzY6SC2
00lSoXob4jjkZnQT6xOkrdxCd/wBTFaGOWcm6P5cJWHn2Nop0ZiD1I2tXprJT0NLNMvF8ZTPeLJ2
ALMnfDdMp9kstgdTIc2nmwrFBAcWEFuFq/ctLyQhQOw6zyKqKtDntXhXZWwxZ12eaB+i0FCzcbCl
Q6aYrkX2Q5qKaQOvm525X1wWXRypHnRobKZwtrkO2TGAOOhv3FTeqyaPXxCrEy00IoKa2V/fZUVP
AKHWxupZj8FU+Fihr2IvaTxO0Mg/cG5qYT/opx6T82VZxruRUMmgLfTieuQFI6tkHB8zHN1XEQMH
vhJABHwBtmKJk6PvaZec6TG9clejjTKjOLSq2DukBBVgNB+KbW+i8dS96JTRPu5rpx+P62iUkZCe
blRTkgVBbsyOxLuUKJcRmhMN4nYC432K7Y7jW0XqHV4CWXVSd64X2bs/BCj97x1JEGcoH/e9WdoP
i4fNbrb6cw70jMYHKlcHNXTvje64bW1XPvVlMl7ZTvmeLdlwTDI3BmuMOFzSiB6IeXSdYNLi/iql
j2OxE1sX8H713dLi7PW4uSRh0feCje6rpip18rmVk4DRrnwRcJQOxSLtU9mk2RV2n11tZm2oGzrT
B+t50mDo615ZbNPKjAJc7MUjFLVmPw5ee9t4A1C8vjF3eht9eiwJQia4yZ75Fj0Xk4dDT2TyKbEs
xeY+j79JHyqV2xOW3ixFC6TJXn7aiFKSsqpCI8/cB7J87N1AvHrI85sDJzNvJKfqtknEW9TTNpS1
ldwCEjsVCuDG5EwnAIHWU9HmLEgyAOHs2+U+7RIf2EcevXXjPO0tmH1vdCm0sD657TXih6OrspH1
dv+mBOeKj+2dtEAZ5GvXWIzJO75othYYMwLXy5Yr38eSmMcFWLtrt3YsZkuA785WAdIs8fQ6BBhX
PGWaUz1QVOXXVetx1duChggohZfd1sAF974bN+citnalYzZ7b9K7G2USVlhNtrZPMqvc6YkRn1y8
/NvOyMZDTNfIpE5lzh0DremYWAVjV2/sNnOWAZCw1FuPyjCs3Y5MRNr75bZhC7TqkcRVvXTVzvbU
9D56kQf3pV0oUhAlg5cmsqQKHPYfG7teph+kwzdvDo4InTL3vYx9MFZG/LMcy3aXMaeow7nSuuPc
615YZrl2gFOAzwUWc5kFggiMm2Yy2MfklrNVEhtYqFnxRzR0xoZtl+JKcwhshVPJ+ibPbql7wwFk
1Q5KO+SWqOEGVZFAKpDHzDmpNhPP06GvaPpPrLJ2MMwFSLeBtQaG0ngrSFyH0zV2277I7213yU0m
TDOjn6hfV39GdtR5q99W5v0BYFK0dauxAeI99zkrtbEP2Vn0mxaemhW0buR+axO9w2Y7unaQLvq9
23AhBWwisrNQg/gBXL3AB4P+UZew/MwoN3ZRtUBzefCmaMyiTSS9pP6BBUiy/Syrwi8f3SnJc+sq
IqUovwYi59ePapa8avXwMWl4XP2KSjkAoyIW5JuFcGVYEQ69sf00dzdzEpPKTJTUACVinj4bp0k+
lM8zpEawv/Ez8DBjRY6DIRvATBEZMEJ6kON6SEej9NqbtuFf1z2cL5NvHljJDrkHetDcZ4AxMiLa
Y/xvyEpopuqji3RxQxSsd3QMol0DRTN3dkfncUnYNLdsvT6soumjgByS5jqyfbVlE9BduhL/Tubg
SNIATd7roGo2wPRmhrCJGg9WAayR0wCORMv0u8ZhxJK6L0lXSPOD0xXW1gWZd61XPY4kvaMEsHWs
wkUybWxnLtekeX6fnjf105RK66XHGjgFPdFVLnP2VSgH+yzUeeUuygR7kxbD/Krs6DbOwIQRQOxP
DyzR4o3MYiKsBiizN3MTG7Bz+37TEVLPrhWL2ohuqfGQhnUYjqi0xmPWC2rkvkFpP5VZ9hh7xfA6
rLSSjq3dea6W+KG0l37nrS82nqhsj5yW7ssGn3fWIoD1AdglstXGRj8iMWofoqgkxBYhcEZ8gm8f
876rLkPsd0Hciva5SzrxTTTADqo6fo5IID1ZRqNSVjg6sC6jacjN8ZkIjVK/dv2yeSAPt19BW03l
3mDRtu6rpH13l47lTrNMaI+1RF9CAiu49tMltnBlFZFzmxdz8ZLprLG8TEV7DxVUHM6jMPa0QsMT
Axz1ITUIuw0Ul+u+jJsNz6jaZR3Do80Ek4pp/mAz0287ap01H2kTJbb6vlD1UfFr2Cq6eprvWugT
6KT9Ir10sU8lhgGMlUwG7ar3NIJY3MU/sklPQYou2ckmSeFYIvk8Fzadgzs5fJh07Xvh1ctTgs/J
DoAz8MexFKq3up3PL0gDWTwJqXQUTe5yq801W4axifaDIYtLtdZJ5sLnqltYtSDdi68iI2cUT+WL
A8yvD1UWiTCjLWP1V62FrLC7k21SXKeVbq8nGHoFAK0uXJ80K6EIDcorb0We9ea2YNVr3rSCW4C4
mT4B5584jLuJO3OWD41djboTpPYcnIRVXFpJbX4ZYHFNj4vSWPxiyqfhHe5GvTddROEj5ImGFJlu
Ute8JJ3n7eoYSXlo9qJmT/O/IfT0icU68bzE0z7S3PaxIHzt+S/jn/9CHf93xMmX2ZkYEvgHDFcI
vUK3+1c3ddNOKitMoc4QauyN5hPCKwzJO7JGF7FKj9+M0tzLzLgyc3unWd3OTnCFuAjlx2Xb18OW
P3XvLxnxyP8Keb5Ken4zR+Md+HKgW6hSYbn/TflbCtlWemSoc9N0Z7ehVowOGLH/51fgv/olq9zZ
ZR2IQuDvLwAmtImmV6pzamBU5D9HK3aVW+++fs1/hGj/YiS5TuqYCP73I8mHNeD0f23e83r4zeby
6wd/TSZ9Bzcw4gQby8o/poz/QBKsonQHxIxFaJxr/NVwZtl/4EhemfX/pBVwm615qpbxh+URF4yA
DdcZ3/R/y+YCRuNvH1Wfh0ByJ2DG+IZui3V0+ZfQAV/vqyGKWu3aAqV9jzGt3C5WZx9L4kW2zNz6
DZnIxgWODe1hbbEGkrN/hA6QbOK8Vo8zTLFrkxjHULSDdyBKRdrsErIqhHFGtiqt0jYf4kvcmAcr
x10agWIDIVc9qzG/UwZHXq5iL9QYqgTCydjb9BaAOEqUALIui4nWKoyHoUJC3DQG7i5EnmdLyf6R
hBkOPKxxGyotki21MUBn9JTV2U+zwefqRuP97DMOzWrH3rfKtqoAQXJ5wX8yXpEZ117PbkKyzcQw
bw/ymlk/pPHTrByXWLsJKBIrrSuLjPnd0I8mR3C9OJuYl/PcOZoxBcqao40kTwxtBFxQ7DI6Qu1F
73SId1YUNnZrn/SObJjCuDS6cDG5+IJ8NXHNerwEIOYz/QIdsM2THDBJy1Rn0BtQIz5DG68SXdDG
pCunqg3jHA4mb1Z5vQwWxFxbIwEvyzDB1hGkB8ttdpMRTxUAXI5Lussp3hIQ8wC9lQ3inDyTV2c8
EZLuHCfLla+VqJGw98w79Nmso3PTzQi8iT5KOz9k9Cj0a0kG4PJQEWSH0y5Vtaf9yItJEAKL+0tb
dqPTZx2OobpHw8cGWgZMoYjdhJIwX4gz985+7OsaNuLWnALwba3al0bfHQzXxidAV4VCm0H/7VRW
DK3dQR+CGVZ7MpCuAH2KVBrAMW7e6eCHpzTfavlCUjR6R0JVstHKzxoZYY220cppipd93XRL193U
WZFqSQFdC4iNHfBAPXb4RkIvra5cND5O9wrmz750C6VLHpDgmZJax6Sqpnq4j4a83Fd/wilMd5FS
7Xw4ocQ/WQtL8QsMylVJrL5kxZr80hgjQofEipzpS3/MtfUlR86dL3WySqsZrXL7JVwm8UkQ9Iea
WX0Jm4kNRuTM4A/BMySJaZN+yaA10qn8bbqqo5MvobTxJZoeVv10/iWlrvz2w17idtnAyI4uVZHg
CDHxQiB1z5vkOfpTls2AQYTMZPXbRSpH7oovEffYJjVz2KGqruZV5V2veu90cZF+I9CYH7ovQbi5
asPzL5m4vSrG21U7XqwqctIU2ltnVZYPkjmX8yU35wnohPn19pZkYR1JDbr0dFWoo+ysnv0v2br7
JWEnE3DFGa/KdmPVuCer2t1rXITv9pcIPl718EJjNRjoq0p++BLMZ1/iecHkdpusivpx1dbD34n3
LnL7REj71s9kTGbtqsX/kuWTDbS8/udC/P+xfwrQqNwO//2FeKzVbxfhrx/4x0Wo/yFs1xXWL/rO
r0uQ+5FpBDUxCQWkxPx2CZprfKpg9Q8Ii3vyL65rwDzot+HCY+hi3bb+1L9h1cKS9fdb0ARjBc8D
mI1ugM1bGRx/uQXJuxokhH7vSm/L6VrL+majcgMnoWnnH2Ull//D3pktx21k3fqJ4EAmEtNtDWQN
FMVJlOgbBCVamOcZT3++BO1okXZLx/91d0c43GqRqAISmXuvvYYjU3iFe0FGWO+GuLf02rLy5on9
Fxlj4LbGjQhdDquomocbZXXBY7rIQJ3reJq+RR2jHqIbrTrYIl6wDAQ2C/wUjCT2wZS5j7Pdjbc9
7GCakjnHcjJKvOxlGGb7aqh77zGCTdNslqxhztehpZ1pduj1O2s8Rj6tCRhatk8iq2Z6U/g2HMjc
cl6oSggpNt1jmGXLdYKH4+curtVdGhj9skMcEnzvrIWYDGP4kIIpFZu5iJMnTODrZwwbhs8TxKat
nNvoO3TZCuZJaMP7bSb3pmLCku+m2WpvEhLuPixuI0awUzV/d3ODaIciAaxyhzy8HgyJ7wWOiqBb
6MNIRywtdSWjJEX3nSwIcRg6Rc8LMtZDRoj3Hn5d9CTQVk1bxDreZevalktBwGB0FlH0sbf7o10S
xHmIxyy8hNPknVDxDpcmmdoWYpPcuc8jwisvlyLKXIIXI47qkoBVdDaM6JhtqtJ/mYXJwBDLfJfx
Vjb0Z8dv8A4K0vrUB2mCIaJwsB0uS+hL9eSfGzgGGw42nGBNv/Ku1Uyq3UUwuP3doPVq4RyVh9Qw
26+RgekRtqp5VmKZ6lT3dUbWJYpnY1vKiZvjZ1AdDTQ2HwXYDi6zON1+xIKohG4DoPol62H2Ob3q
vDN8DLq6aJmnifbf9U9Mv4NuF0IO2mdt0XwEB2+2ZJHVUPEcAirUODEXM+O2O5FySUniRFN443XV
d6RVc38wu6WOdwbc3u9EGGQKqv9C+jRuy903TnrHOARgcY9BPyXHwSrq/eLPiYX9sDM8V8L3bpyx
GXZlVdhEvVqNi/C5ti5E6QNlTLEYPy5dGyaPtQnRd7hdDAyRM8ZERtddEtgT3+HWHN0wb8O6+oWn
K0eFORUis3QzqQLQ68pcmrmENu64eXAd6vok15WKUN0AajI6zHioY0KPa8CSo2Jb7pWudca17OmE
GIpDUAhN4qQuKnSFNOA7dpp11dTmZJgaCZXUjE0zyX/jxtVVFhZ35b7VlVdNsspFoqsx6hEJvY4K
rcHSfpdRtEldvZW6jptKdUdbdiAe1L5adK1HpBBnnq7/nLUU1DGzzAp1hVh4DStQ4cN8bWB85+xa
XU1auq6kFO1OMm/yfZzM7tGa/PGq15XoqGtSJs59x3hyqc9OW/cnINf8Dmk6hWysa1on0XWT394u
ES9mSuELoeeToBB2Mi99wZxE7RIHs+gyTtoHA5P362ycXMpIqul4ssV9s5bYnq62fV13m2sFrmvx
RFflg67PBwp1UOBHX1fu4cKLbZTWIaGoJ1o2gkZNnY/xVkHogi7+JwiCh2ZxmF3o3sBI6BKg3UU7
U3cOru4h5NpNyETeObrDYHtK97PuOhhW5nsHSsa0CbXWztaqu1rr72aArM9WptQXN8eEi4y+bDNp
xZ7bd+6D66Liq1ZBn7+K+9xV6IfdmkG65VRWvPkoAc2UtxdOanKzaJ0gsUXeodTawV6rCMdVUBhq
bWGgVYad1huOrR1uQQLr69XOF7Ml74yO9xmLatQpIaysSasXba1jZCwJo9vS6sZR6xyxpEfy6IQZ
d1vSeTTYBKOKjFeBpLeKJWOtmySct7iKIb59TFoPXEvrKwnBJDcSju/e1OrLRLn9RdOiyKQw9W6i
VaYZ8vi/JFA0pN0zsdFqTqF1nXMWovDUWs9Wqz5dEap7F03nLSlY4X4GYrrImHN/GMipOSamaqGh
ax0pUigkpVYU9/ex1pl6GN0+W1p7iskpwlWtR/VE1cKossVHImTTLSk6PW8VCtZwFbPmWtdKgd5d
kQs9XLU2yIep9a9D0qaAqx5bJuJYoVWysdbLGmlPQlg6oKIN2fN3ULixsw+0ytbMqugi18rbWGbB
p2iV4+ZamUseFXX7ovW6Uit3YeTWUO2Q8+Za10sSwPJgDWh9qyBB9putEmCsqT4xrZNXhGeO2LiW
cCnJSUpYb1o/7PTiHmM4ebFodfE81t28hUoafa60+tiCuHkTrZJkNqb6wIk+PUdasWxFWrzcax0z
wzGAXqkWZDV9d7Kb7rbr4WB+DBkqdh3iaVSkkvEhOV7mlxmNFqYt+HfFn5UttfagK52ekyg1Gcgs
JS5Um4Ih374XOorHGuhIK3NaXrxucPZBOhdbiK1swRG0qAGSq073ieb+cjTzhxHd5CVy8hCdF6Za
PMps1xdFdmtVM1Z4hXvqcXTf1U4T/8/B4NW79VeAkeN4P1Uufo5bUgzauPjRFAWDD/1TfxbJnvMb
Ja20wWRsBkc/BlT6kqxJymS8QMhqfGNPpLAn8izMiqGWKan9if7DZAMuwu/ARJyjJBRXrvUvCmWN
qf4H18RuFi6cjRUPpbKSYjW5/bFMlsKM0t6OnLMfls2hIZfyxhZFc1jmOV22XdParyrY/2pk/U8X
pClAsykgjCCgfFuXp3zrSla5fbZsJGhg6BR1fj/dcLzpiqsV/wpTff2CKD+5Xxg6e97qCv1DH4BL
ASw66SpmqJHznPhcABG2eGjRmV3+0Bv9A4ANlvj+XvKoedZA1ySHvneHaKIxCvtUqDNEb/s5dpPm
YJMTXpH9GIrrbln8RzdFwdME9nT380u/RY7Xb/mKSDJ5oOnSlhc/PsaxTofZhDt9bmWCIboH6X+D
ihsTvSEk+fHnFxNQL99/UVYg6CJmbJ5u195ebSqzNnenWJ3H0uFCbtWYw2ZMzCzeDp0LB66woLyf
gHDQYM0I8dovSpSkIU7AOGynRDj+/BP9/es7aM0dIvAIbnWV1E/mh4cM3gETLqQ580bF1/VRgV+a
OgLw/3gtzIxs3MEUhE0sRd5cK0wsM4vmWQGRjuK6V4aO88inuz6R1Ssu8V/fFX0f376cwMF0yTZs
UxpjW9uR/PC14q5qDKfs1Zn+6XsrgY96mRu/eJr/dO/YhPBz5mLsUu8eJolNeJHJDAZ92pbnBPtI
XHycytiKJUUA+fMHJd6C03qhOiZuvkI6YOTa8entV8KXUkCnF9YZS740J7WNa4rAQCOZQVJ58oha
fkYwxEsa+9PdHHXWkQgq6/iLj/H3FYwpHNsehDj+Rb5fMIEUhEWScXGegGoZJxXCwESacIrKaFmh
tZ/n+zSVjPDmpZ8J0NMvr12hG2UHaQ4//zT/9AQUCAYtCU8aS5u39yQlnG/K04qXd0BKaZomDKgC
xamqGn//7y/FcNBjKqD9+d+vqKmigWjc2jrHNrfX90NeWSOb2Oo9hyfx84u93erZvpWCjO36aOS5
3N+WbxV1ZYbRi3EKsBNeNobRVE+FlaEzGL3pBpMpdoefX/H9CJFLYpDP9NBBn88Dfj9Bq9JFI1M0
1WaAjaXyCkRHbdNOd85oTHcxeaH53rIXCj8vkQ+EAaAZJT/p7BoFQTpe7NSHpeb4W3cQ2ksYHPMi
0ccGkYGmIRYon3/+kfH/evOW2xz8yODwcEcUjDsaR+Pbx194U4JVl6VObWZCx1nIV0HraFyEok37
TWnm8xRuUbY0ZYCKtZqdvZ6d3jaNkeV7lCx8xoAYuRjvTNIw0XDA9YAN6mxIauG9krXBzmvC0UbV
Jwh23YgQO5Y68qa7zEH+SQZW99KYjnV0ociRWq9zqkZJcluHnfLZC5V1ahJu4GZOk/kGsbTRIHKS
/mOHOjnZRrDIxEHQO4TMbtAz7nI/QiqNMjqw8HGPLecyK2qu4XGnnTZiRF+Ty7ZRg6IrxZJWXLdR
yQqpYAk+zaXbLZdGsPgOSSYWwmtcjWAfNaKITmkWdS9pktVPboVHzikX8Xwn8Ci6MWSHClLTeeLf
xezzyGA0O6l2jsffqCa65KnoUuc5jSWrXSXSfp7pWV4gM+kTehjs55xMmm/VEsjDULv1HWwDEuJH
ohSRqTMJYf+lFx59mxNGzCSlIETjJV0V2XBsYaUq7miAAn5WksgZy2pfmrbzdkZJygVByNwfGHru
Xdui9pKDTRQgDbizyZ3RfxSYFr2keUir5DBSQh8YwIXw5sZ/7KuZv2XA5j8Sz8dvyZNZPCwd900x
w9fkOU7UgpP6omqdzNqQR9gQLKeIW9zMrsvKVpGj4HQX8+KeIl2YGAlJTYCB/pWZSChSYBi4KpgG
Sn67wDEAegWrJrVM+9l1Uu4m7K+q26Iip0cZTOKuT5XeL42BJuyyVUOdXcpJ8mEw4kjzPYTC9sUp
I96/EkFbuM8XT1xHRp7xKG0kBQy5POwZ3Flx3nRpAHlUFBZreUgM/xEfPn6t16GgnwxcASrhcRZ1
uOlMFzMe5aSTFTaWtrgvkEPtZgsxn3FuPw+oMJ+dqCeZFijNz3b2LJr70FrkYVnG0IUo7qjfi2Eo
Hrwlnj9k5BrtaiRtmM4aRHxdiNgkawwePRArqNSmJT9uS4ZYiVdAi1UvwIa2GSaCIN24YIfXHrSG
M9mbABLoB3zE+q21hVyn4K8t8wNyPhtzuaiqTjBQgXFZk0QeMKO97arWK6Bn9/kfJY3ld48kmqMt
3f7adwgmIHsmCSZI9exM2yVj4xpRYXITjLn6Ah+laS9ae3a+TYsrdi1zn6uyRUt1QS68C3DbV/GO
CVRxOQCsXjNEESOpV230e6hVsxDCqg+zAxe9LubgLObOrWFRjs5TFeM9zYhn+d0JR5TkKg9n8Fy1
/E5KIICCLZdtKwYeoxfYmvY7Fr/DvXY7Un6idpea+HToYpQMl6luJaYAubGvqQG1EymeHJ5EfByh
20SHHdz1iN6PRVpXx6RB+j3b/fxHEJbjPjJig1FvmX8hhFdts7nA7KwAIkhqzehMm2emxLwfMdq8
AO7Tth8abCSqkl+E5ERNkcn2jwKy3KSY+CJHIyqw7BAT+q4F+d5xvRCr+HaqUAMAgh6khWxnhyZv
3Kgg4EIqg5Koepi7XlkhEu1a0n7K2djLvOw/ValTV9uhaC96GEHbIjK/ZW5bfoF1JDexL6aL1gis
HdRo89IPuvyWU4kYi4Xt/cpRtfYEMXmibiiTqxKR3Y3Z9Rgztx2L2iDWoHueg05cGzLhlWhxZJn2
ZdXJ5OxMAQU2VOyu3rLbdi9hgy/rtlx88TCbC0vWBKx5bGCih3uvn2xzn8ZYW6/s8GGTw9JetpKw
wydYrNMNVDRj685Zc+han/PY6+0gRoWkynPZZPq3ialqL9O4YwtiN6Ywq0p224k+CqUHJZwzLOJh
qBSvfh/Z6G4mlUwHW6TVU4VAko/mQlKC/1lkT7KsQ+q5CAWHsEqJNwLWdVX+u51EXvV9rga1aQcX
bXzmdjgOYGzxR+6Ndbi1U8P+jN22f4Rn2x4yuH54gk9h3ENiTKKv7dARHGRbexs2criFmli3X7LF
6I37eKnANj0ZeddDk8RbJ2PsHKGjOsCdXS7IJ6g+LX4Itc931fhpsJv8jkyf7zJbvkz4tXxMO9kd
2FdxO5A+2nzVV/IlJNfkhVDY8T6ENV3d8MaTHjqkob9RoTsuRK3Hev6fte6JsLYWBtuYAUa3Dvv4
Nu3bcDx0/mSeVV3OH+q2s+6cZYrxascPT2wcnkKypdjxH42CMfd+El32YWoaRRLtkn1k5trf5TFi
pAbG6Tc1GNm+7Bbra+k7w7kjYEES9yyR0OK6G2/TqIk2Y7+M/iavM7YLH4sfFI/qNI/D16Ayxnvk
t+mt6HvzQxOH9u/p6ECMbXCQ4awkQXBTA+Vd+2qOPzSTbZ0MotxIpBjC9hmJR3XOXcvfFzGYLRQX
AzPSrs0b9OxzfAEFvEezjOQsYCgRuNNFlBUo39KqOgzIRe5JEAuuzLlfbrvILBE0h+NTnwFD7s22
VfFpYuJGjm9pGs7GC0YvvXYmc6wu/agnYcoujCtIeOUnM26kD+ukR0QlDdeEqc7iuR454b9D32o/
9FU1XE4chOciaUk9Rm9E2C65fdYxYnO7TFUgIOlRWRiYFLjDbSiHETVyEtgV6zJrntKps5jnZfYV
MnK2Ucuc/W6LQpgQPCD/Ht1+UcoPHUpdezP7NSp7L0NSlbL7/lFKpw8YsRDtRyC5OipVy/2aJtX2
bnzX5qL+hPlE++hlmDwMZJjDLpzQEbgOjq04opKtCd1wZ8G3jrciWKIXM+84hzoTGnUAdEqQM7fq
ZljoUxjVu6SslkH8EfOs6ZPZjLiyxh1DnVjPd7x11FPoqU/NPA69jozJBehZu98DmLCfK8/qvkFq
dV9Gh7ifC7PCNHXbZsLOtgnZlM0m0COnZZ0+NeskymUmZevhVLvOqRY9srLW6VVZQlmJ1pmWcptm
m+pBl5Ex8pLr9MvXg7BwnYmZ63zMXmdlqR6bGXBbvkTrLM3VYzVznbBBP80+QvJk7lboEVxkMITl
zG6FOuQoaab+EXueKVCvHez/yHO/wkJtT0tw/ztX4PNzGzFo6cq3YOjrj/0JhsJJ+80XtGV/kedg
H/xFnZPqNxdb5j+No/9K8tGKXrJ1aI2AOzVi8B8c1P4NT3WB67tGYVAJi3+Dg77vwZEGe68RWwK0
FtDlbROGTUWNu0/v3OYDov5tEU/9bcNxjNBlrNvff7gx/x9AIRcjugsTWVBQALL3XXhoT4qw1U6x
aGfaElXKh1kf2q+nLDlI1VNouurZH6jU/w+XRrlsetjjOn9rkGMjFfS7Qt0u/sSl/cbw95imudPe
ZeDxYHns0wgbGsqQNlh+if+87XWhOUIIAQ3QsDVwrKY6vkG0pBWHBcQq65b4DwjRnjFQxlD6LNUp
LvXlJvSTvwAH5XuwZ70oS0UJgFFB6Pfbi7LHBX1Y+fLWloWEY+hZR5k7S33hAs0/VqQvY+dgcfGe
XMn2MiIa+MXRWE9mwC9Be4rcqnJDqprW0GYFRDqrZ8xaqXgogU1xhncBRhQv2uKkrQRp8BMnnPUL
cEPzNn9EA/XXcFaggGmCab0HHr3Rs/rJjSSnNB1S2mcKfxA8QLBYncQDMWjleUppKn++YN7yaF6f
GFaHPgWxHmO8j3LEEAbHW7Q9t+AH4qEwIGHUbhF9N5Opvp3FMt3ZikaUTBMsHeao/xWo/vcX07WE
R8/CyIB18/5dGXyf9iCdxK1jOCA4+oWZ9bwgHOpfjQrEPywUUF3eLE83SVD63i6UYHYZEJu9uFUa
fDSqCK+xIRZa16ib+SlV2Niajn47TQrbyiVzdrN20kmKNPDnN/6fvrhFdIQFVgcd5v2qlWRi+bUZ
mLc9BMyaWjDIyivZ4W7BvDv9FYL+Ty+JZnLxXvJf928wMJIu4iAsUnJWyKKYScIkMx7Xvt41y3Pe
MFZYwdq6jlnlfraI63zwQaZgG0LyE8lSng1nmO7C2tY8VVN6V106+HuBU8hNFMEU3RVzwltme3gi
nnz4l9nFz2/ZOuZ494q4VDN4hXJU4P39DkpLmAH03uyLWywMMcGmAmoO67pZvfl0K4px0ci+N3MD
KQ79fUg1jckbtdqhmnOwlThVQBkLFJoGabPZQrlAQvbzz/kPuyATPYB9U/Fh/5a0ZkyyHxwi729t
4nJjGgZuMxnn1ZMwA/FQZ82vVrZ8v5gwT2dVQ1iHG86Q5D3EnHf0mWY6t+heQdTsDqgk8Cf9D4tu
sjeBWGAKgRYCXwV4jQ0J3LFxnP37uE/Bx6xi7l6sEkfFxGQHoBKvnmKLiGuUIUCE+ha1nBrORsQE
ttPDYRDJaPPKICvtKKGSXcNU+hV0yjd4tyU6fBOeM7MoJcFR3w+iFi/1EQjP4W3JKtn61bw0u8Q1
sJmxshmXukHnECfukHQ7Wt4Mg8QhDyI8xnFq2GT8bhOUpYLlm8hhTzHtXgxLSM4qcpqeTGQBfwHc
zQ6WnWnRI2rXBuNTZWDGhV6fWPjNCEfM3uKEB/TBtIE3A0unfs8R4JAFnGTlhtSo4rYvuujstXly
JXOvvB6SwK13XtmY2E9ghfBFkBX/UZRz9s1MW7GD3EC/Judlgc42DdHLrDlGuMdGxS7uOL9PTIeR
qdWM2W5qCmaIOei56bqAgHbkEGM8P7iuUT32BWnFOytw3XsEeBFuRgkRD5tGDjVYgB02+GJCeyE7
r5PeV5BijM6KvO3SwzItHUK3vlcwems43MfAE7D8wh68rhqCE3QZ/572UfRbFxOr5hYfeKEw5QaZ
24L8pNEWzl5VEUYM6LedfBUFO6Rf/mMIPkdAN2vEnXteOaec/X2dRzAbKA38vQtJmE9X2vZzi/V2
vC08dhtKQDbioeIUaOOZH5vxLUOpb9GteW0A720SSeZeET2cYnkSiEjgjLQUvelWJ4sQ0vkDGsH6
yph8D+UtwZQRgjUtPlRhHF0Pqd99A9Vz0CZKQBszTpqdb0F3bCRKo8aPcXgDRB5Jg/8itN5RauUj
oKv8OuONtLVjEEvXl8GF1DrJXCsmS4214TWBilLrKcNeSysXrbI0ex4PNKGuuGzCyoYRhxSThZWb
NGi4yaDSnLVg00O5qWrTAVKMQzwJVmXnUHgtMk+4Hz6azyEoTZ8FkIGc73I39zShfgY7IJgAnUqg
AwqEHKVdbRG9GQKe2GzMTr7zUuFXX4xogAie+2lSAM3Wc+5dQHmk+FmYUpdpyp3GUaQ8myH+iuz2
BrMDb3QthLAjboF5GGSfJqPlia2IVT7P5LIOrs++4pfsFfHMqiS7kviVCwhz/A58X6snv2l5suhQ
eahxgteYiapiN/ojywsTQB59OlRPTazCW+hES7ddZkc9B/Y4YrNCQ7vvMoZIiZ60T8wKHkeJdW67
YLzr9A4bj2IfclXOfKeJYBLVvKEIiaFPErle23w4Oo7yTFlH+AEOdLsUy8QzdoryoTZ1avhcZv4V
HGL2Z7azINhkys9D/HM6/iSEgAZSrScXSEf4g8VNsdb1gH2fG6mNEDrQRqi/kUiuewxffPKc+FQr
4O675XTHaJ1DPTbYUdc9khrOuwpsDlE3YSYDON6+1L6+lVBwYStAL+wpOPi0ed8TGG/VgHclZafc
kKLORGWtRdLMURBI87Q5hOHAdHoBQxzgtZ5nOYLSicXfS4mUo49pN6yMGVgSSI7nDhx0N+vqcZbc
e5HPfCleSa6UMr5/iUsWQ6L/bWhmEMkwofo0U4Ym2I34e1+XR1XGaVv7Yf0ELEj1i/PtfLcWCksK
ynzCrM55lnpcglSAR1vzYSbpJS8EQjFkiSFxw6g2zGsz4pXGcR4vD0Sl5RXLiGcn9actypqDp4Wq
oiHROzPR44+yrP39CjjCAuA0Z4zDhCqQTLmcdskDRJKgB8e6bfR4gZ8Z8N8YcRmqjQbodC1wel2q
pLgdvLw2P3CVuWmJn0ATtTFJ3CojrVGHAoKoD6M948ic2+o5cq0mu+TY4QNWcmKG5RnIgvdVLoKv
mRFx8WJ9hURgJ9PFMGFftsMQBEVuM956aiSZS1NS6CA8ijv+px8KDuBCYd68g/FoHdMoJ5BPz5vY
Bqyjw5O+xnvTPfJ1yrM1YLwSz/0MThJlfFrYgs1hHDlxO70812GOGTLcwGig5zcnA4MfhYNn/6Ea
QwOrWriKVGm4e2abnswwhND85wo1DQv4dQTaCXDIaYjdhyT16mzf1WZ8yQCQNZJFmf0c5SP3FHIs
33/dBNIMMzuCYbkrWRr7Vw7hJEeG6rxwjr58PjIASvRbn3Wiekr0WHUlIFHu14c6sHiqsSQDMuMg
5z6MlKAEDwSPBgFON9McOs/rMDE19VyE+Sxjq9DmjW+alk+yrkQ1JaI9jzFbgC2Ydu1FgxEoNW0d
tjf+hJYTYF8/oKRWbE2yDOpD3gj/EQe6yQcuX4x2vzidHqF6DCmRkIf5PZNs+3klEEnDowfwE9oQ
ZoDiYcQcCJt1OTNnZZ/3Gb3FfvUElMyLXotxulm/IScRNXLrsAMxio8v14YXXS5TcWHxioa0qERF
pOZmpKV96Gv+kAEBj6XTVdrCNDN7rRjXY3NeyG/BNcWwjpYX8d0Xu2IWKD3yq5i37Jq+p5PRd61B
LoUL7CiyZQe1n5fegQaVxoF6rvqO97WIQv+K2Eteq2W28MWzFuuiB/DzkPCEbEdxyssFZ43dMWob
20IaIXHbxGd3uiNh0rEwYnAJNY2J5d3bfp/Zd1MzFg0WA4qZq9EwTFST3ln42/5jMZm0rfghHNO6
NHAv8b0xO+FmwE+jXZD1vTDlyBLBrjXfEjUjrnHk1HsfnsbGZRkKNnlKkVC35KqjX4lyBszrDXjd
i3Tjjly4elo31iZ0OXHWtRuEE8faBL/mMLnx/LXhGLpd16fCovQyAQi4JM9OpR/c3mOJeGbfHJSd
DqcI20jvzwWBtab3vXKHdNjmzaBnqphoZHNlP4cOWMq6Kpwp5aVI8Ze9Jp6YF7kuxDWqJ24Co6+4
xGKxEAxn7IKdiKBzhjG1BIRo7IShK7M4uqoxZ/XFDbhro0b+v5lCqNnRe4prAUfkwJITD3D4ynFH
QCVvlhvUnDAuHnoXZcWi6ZOS3d6KxUdi1pbbV16AaaCf2HYjm/a6AyLlZJpTBi43uwsMfXyTpxVu
LHfktdEHEGqS0MJgvyKAC9w8bIbgojY8n+2q1582gbdNtCeTAguEe57uchjgTI1o1dCKzRR+dsj3
7mfcWjdaJ4rHkWomsWmohZb7QXjxdOj6oYg+4rFslkdiA2HLmUxVaBq1S3kYl6x2E+y7eehsXN/3
oZH6jwwDALyrSX9f1x9vCAVw73tvyj/iBkiYYGBsUz9pD3ZWY67SsLNDg0i+h1ZbYlhXBxC8aakZ
bhNga00cj0lccSLNuFBusSfrfCqU2XmE/cB9jiseaGmPy3Rp9AlONNg4D3gplB3jEKTqcVUlHyzV
CrHl1MyPdPbTAfVCMWvHs+JDUIKa+5O24nckaD1kT1ZY08rO20OY68xTrTf/UxKEAJEYsNNo96Sz
7UhCzI4rl6AAKeq3dRaMxn2YSB5Pk1f8s/a1cfzKb1lZRJ41Ypvf6M2/Hqhxcl3SrcSPNMT7ep39
9fXIO6Mb5TRjlx0tn1fVj+oCZ92GjxcsLmCTLDWJIBj5pNN6mAQR+/aC/VTK8NpnS0r9isAXfYYL
IwkeA0+PKdfGMDTDojpBYEFv1HTsaaUzucEZPK05uFHpX8U+0xC85sV1ONkwIYyufZHL7OHpQd4B
PRjPVedXTRfM71itechutTixfBi4MrbDbJF+krI5wgDFKloTeGSm682VopA3ZI/vggr4apxURSwv
TrFlx77X1LxCXcbigbienozSvnBCvTMvS8kJRG8XHaQdxX+owTHbs131vHGdgfeDzRz5ynitMCCB
YPNrHfO08NTRdRf0WTRsE0ND+htClPvmskRtfJFpIhq9Smc/m4QePEAOBrJDEIFvc8BUg9LP4NgI
AkknkTscLA5a1Ad0u85uwU31SEoR78MS6u1gLZltcn+dECUKKFluEiGYky8CxV1ecOXoIWqwH5si
LIQjBnefqj5Mdy1vCLsz3c5ywYHYu4T75KbczqoybjTdELn24hfe3mqs6SBD2/jWV5b9kvj98kdG
Vfm9zKaWchul1oa6SoJckE4iKMouM8AVmJ6m0+x6CB0kbdVFUu/rcqpPtjXF17FbebswceLPedWF
9w41PgyHPJt3aWvrrHh7vvatCmWA4abfynrmN9kF0icqZZJBcCkz6FgzMxzFFm0xodPYJTivrMv/
TXh+MeGRCjrvD0DW3/L6PjZ/hG+nO3/+yA/THTJ2aN8kmIwe5byZ7tjwDj3sBnzcLRxg5r9GPM5v
Eg48P+dCmmaYA3b1lzOCNm3FSMG1PCgPCgT434x4LPkWd7MJEGTgAbZpaxdYLFrewYNp2y/p2Pvx
TZKCe/k4fpk48TQgIh/9oFLqVsGHa4mSMHFADwJGOPC9htjZpgHGodN1bTmCMCzw6E3bxSkz+8jL
oE9+tr3BwBHVSXGmYRicHkLcc8abjvPmBdvAEUan2xaxt8UukLNP9qKEv1BGEjO9y9JX0KOiOkH8
X4jvVlgg9/Pb2vtqaNOYicSrkwsqSdMSkrHXudkdFlsBMklcZyw/wzgNbzaMnCyn7zdUDzk8k6xq
7M1iKeOTi5eNp01tcm1vg8OCe+1EWN7E2vwGSDs+uoPd/445mdwrs2Kq3xROdNesLjptOc03Q78E
/q6ShLDsLbJPDPY0dEb7lpy0nc9gmhQPcmWGONx24eh8jbWfTzs4UXJtM5rdYZzkfowbEyegOZ7w
g87oB7YEgeC0DgrpE15gdvF879pdV+x4EvOXYEbMri3LMYAgWeYeQXHgb9oSmS72h9FwjJ0An1kk
MV8Utn/o5tRkHsPCGva+w3B5a4oEfzW3c6JwQ3R39XlupmaLxXrSbj1UrCejJYQEjjzJ7Ns8WHBh
Ske336BHY0kkS4zBOm5a7bJL7LZtdtA/5qeun2vnhm8iTczjhnza+dozKjZ70BCNfmI9Gn13tcEU
CGN6aGNFLHlowamr434HDcy9rRc1gaggXttJcKNbBHXNaS5JJDHzWtwa2uSqGHLnFCh3hg7SYIKl
z8bdxEuDxa/2yYpewatw1khWXRjVlVrxLfMV7JKpGoG+ICq2nrfnRqhqi/cosn1Fxkd5JBEJoM60
AE5JvYf0iuND3qqrMYAHTXFeQNsGGhN4M1MycPduoavwrBYxuPc5LCxoe6Bo1WPWUO+TdwfoOK/4
Y7NikdY0ue0O0UNLsGEZNPR/VRi95LU7V1sgutTdZN6cG1cDmFa7JROivCY5JL4aNEzqBMX4DKNL
A6gaS52rgqisaQVa21IWDcF8jrbLxFYUG15TZfj5Q2AT23HFbk1iJC6KMI5v4on51DaqyRjZlITr
8WYHuAVt0EvF9N8J4UrIyaphuFrI2qx30oBRVjKXsHbVkA9ia67HTbIePc56DDX407kfpiUfSebg
xGpSt99FoYV1PTMJAusTfcLhyBBfkziS4Um7noPM8zjJ8AQev0h9UML8qcOTMtu7ZeqIzvV745ux
nrrtegJ7MAvt66602uWCWF4YeWE/l18mkD618fTRviyeLC9VUDXFJX+oq3Wj6LoDO9F8r2p/Ko9/
QkwYlcC/xeVvPLrE+x0tPDW+Yy77ydY4mRXbLaV3KofqQJKZKI9NMANrVoZA4NDi/kB60K0qRt7H
QAGH7JOQ3czuzQLRfJ1cLpPlnRLDm3F+hGM9XU2CgtJFY4iNRdUQpeehAM9ESBEe86xKWgMcmuSi
rFsDE4vhwuqjbOf4iTyXSN33lkcVtDfiijGqiphsEgUZg79nOrcBs8Tka1O7yXNidsYnwJfhqTWn
odkjjFW8a2oadgaZK/tcOEZ3bMIQ8qBFdsPeidqwOfMXFDlHRkVNjCdPhWec4y15dCJExcbyBtzU
rsxNAskUzlLvRFvZOrgA2A6SYTy3q+Fg1A1WyXD6RgJYqfABhMqi6r2NB4TyIOiRHodx+axYwt0m
bnWn6RemPOB+6t7CBRO7EHvdXSej+v+xd2bLbSNZ130idGAebkmQBElRs2RZNwjLA+Y5E9PT/wsu
d3WJVku/v+u+6OqoClspgkDi5Dl7r71H+eeom5JW+yZXLIig1TiMt2XYmZd5wZRoVbROoZ0ghlYn
lDZ2unObynhqxPgUjSNMZJQ56NK1JMyx9vaqwLfYp6M8wcVbZi5ad1tAz2npkZGCcaONfdjqKyLp
p3kKCsMRaFhpbYVReCAVacADT1P4r6nc/+qpD+optAbLlPW/K2aOX8ruS/dP6+Cvv/KrnvLMf8GY
wujM2BsJDBad/9RTqk76Mf4/Zl6MXZh2/qeeoqr5VT8ZqG08xn2UOgbyFvvPJDKaeV4/eYht4FAb
sK8MV8du9Xo+3oTCzdNotI+FXrvaWrcdjXg6bcBau5adQqOL4/Qcou6kAQyAqConzVq3Fs40z58F
nta7HEaxUhy6zjZaooPnsTXDwA3xw66lgSR+5TT5XF9mMXR/Z0tbpTCHS6EuElZQzA5sAR5UgJzg
m/LCvujNpvuaRcMNeSBOuNbQ/a3RujucteCnbrsmom6ZpzvFnWftYhakWS2n5FJtVgvMfN7pGh3D
i3LUcmud8g4Hld0SORfkjSuba8D12V2LMehzl88GZOOuYS7Ytn1aH+2yjcMNo6snBW9lxRKTPW9G
L0f7X+PygUw1lbhNqsS9ov9tf24cZ4BqVw3PMCXxq1uMGytJJZTAYCR/sdfBRldGrBAgXCnExcxF
vk9RED/bndU86Z2hVwTwJd7XynO/5uOiPedADLyc9yP/CE+9tI2rxErUgGJb24jUYC5kqAV/xvCa
G5mW8bBWp0n1xUC5tgLh4RUr9OEYqs3QnlaDZvUBGo/img5Yh4CuIK2WwOjdPDvTjdfpE8JP5hPU
cRR2nFSVJKDrnHzjfrBu0qzvAW5XunIFX9fdjWyaARWkRmUhyvuYUmI3u7K6xqDvrHtQkdA08F+d
TKvXPym4CgmtYUB0VZmR9L0a2EbhOM4eCcZ8zEE/9n4iTaarOlHyjK3ApRIssDUGYw5yRMcgY8Nm
flamot66Sa7sMDHMezPW569qoTv7GCXo3Uz48yW5H9VFpUSy2JmzMl2NcrZ7Dc5tb4plXPbv/xeZ
bhLzzZsBDOY6UYufcUS9Z5btAWF2NJSHIuyGvPIRLTept9Vb5RbGJPBLELpkd80bNQ419evPbeJ/
O+oHOyq72GJP/O876mXVvgnw+/UX/72v2v+y4AupFn5nZBGv91UAfmwtMIP+dmv/+5z6M1wEkxbn
UHyD7IN/77ML24+zouHw1/Avc4j9k3Oq6ZxrrhCaG4jz6NCSVYsC6Eywxgm67uiRwTXgHQAFLeki
AuP8CiJkMXUnRZgeEyYH6WtPpdis4DPNnxUQHOzJiRZ0fa1chLwjaIUpBaPupoIAPHcncKpB3Bry
gPPG8TE42MdKlspdU3b1uioj5SgSV8OGBW+HWKHxIXU9QQ5nRbtdq5tqVXSguu2ug0xdEfCoIwYq
0WuHxi5tSHrm9yZFzYpgBsYM2znY0CHjuNKERMY2V5xgGCpoGL+KWguarjYwmroZCCb7oJkAjWXm
UUw33yQ+NV/ygHFsadN1i/rkROYaRBih+mOv0tK1GU/mnbKBS6ht8T3MO2K3OVdF+k4hFfOTN/Xp
pquzxJ85jeVje9VmqKqVKBNMaIWxzRmUQ/OjfW4UNusX2gJrhk4tStcLpk4mtw4bFIN5bQ7qDGX5
wOlzNaAhJ7U1vWonD+5zl80bzMbaStLhQKRdkwqoWoYfJQz+h0KSncC2diDd4xRrXojrobj11GLY
iNDZeYUMapMg1zDX6a178GtMxkO+Hqo7JUm1tRVPj5boJ1zVy4eoM+ELwPd+Pkm0+ZZib3JXvhSE
+3HkKg41p7cjFqFpTct5U83OVknyemvhaPQl0W5gjh1n1Vh24IUeahKS7NxMp5c4h8rjZCQVenZp
AVKtwdMDu9nqJnYGhWzTvQ4++N5J63nfafD/eZM1W1SHcEo6ZfK7UTV9KFX2ynKjHVUziGveiRtP
I+p1xNjKlGBPGhboKcsAA921AwftaBcbtB+9BsZRDqwuS5t7yNGP7jhfpPrgrCLA1lulTNSNhm1m
59TFl9lKn9NGmLvlXLkeUsL2VC9VDo3ufWcnT31ktDgbGGzlxEvYA7eE20Y3XpVWW7qf01pHrrCm
+73uCa+ilshVmHnWvtFT7XkyZ22Nr+o4KtkLQYvjZsSWsklp/gdWSebHPJcup0/uhYS+pg9a3QzI
UcESwoBtreb8t0xrn5ROFH7mjKFvl12/pmvR7DSXb7DCA7y104LmkpE+tLodnUo1LraG+xJ5nXoY
I6YOoHmVeyxuBZFzdmz6Tp4kt0WfIczhJAIJMJ52deK192oJZhiva3Y7O64JgWg+daLNt26akUgc
xvZ2xgvhWwjmNhQ40UroinrNaZ+XEmH1G0Qs2KasTPdjYXBCdlJ7r+nE8ySR2we6Hu0F7+Vjp6jS
V/S4fpCWwVXEwu3rZupAwfEG3xqIzIQUiYbOStWHKTRVHGpUc0WPz0HEtbOmccyIZ87Ku0wxpuuw
lupBE91gIT2y6QYNShZv7NodlgRdysC8zDYG2PQtvyoJi0pp8AeVi7JK8l2V2ZeKmb0kdJfWaenm
+74ha0nSf/OdmetZz53FVCEnxtVQf4xk5mK8qawDIW6ce2xxp7rJXpa9fXApR1Zma93aIT3qQeVM
F3MsX81Dbvsm3kmcs95XKXLG64xBNHmdI+NakSOk7ZBDfS/Medrm7XxshXORDPz5zil3g80kHppT
uXUigjcKTO0+Qd4IYGhygrxKvjRVhITFne9oZowB00OYNQRAraA0ElWruoTjJVDL27LhliJ740TZ
u5WF/sVrDJz5SWqs+6Kz7kI9jqiPYALQJlJ51Haj2XzvUeXgfKXGsdqUFKBc0w7Qv7It3ZJ+ky3a
jUmQGTp4hRvEhnpV5fqzbXcXaWSm+84aH92hYyaQ2ALTnWHvpZqU957Xf8pDnL117Xy3MU+t+5DA
0iHK73VNHh1TtJe1q6PhpgFq0fg4LRERpdpe53EIK9yAUR02zY+2laqfeDS7rFnSvjBBG4XWhHNq
EPnFlA/tzhyZr1p0+4I8LVedET97k+vdT+YUVMDvj5yB5bbXp2bLYWSJQmTFcp7vm95Mrjtye1KN
l9BIYQiF1uN51qJ820rLor9m3ZHKCN0bePhxarp91ILWpGZVVpGQOloGXi9x0dif82x8GkIpA2dy
vlUSCHUc5QRv6GLYkTmFN7sMrbWDAPZK5P21GkF0axB88osPpxos6FpQMtJXvMXWXG0G7DNjg2+U
DY2wk1j5JD2I740yfjMSQkONXMq928+oMxKipibQBAH7b3KIe3PYRRioAK4q1loutEAXFcMumQ1r
GzmDsdVzQoAZa2m7yEk/0a229rPi4ifojl1GpV4r0Q9DqZ0D08Nwq2CVpewnSdeqGBVpZqEe3JqB
VmXyJp/ZVbet3Vb+4E6Qrl5IqyjFg5mIEKBU5CqNB4x2QNNZL5gotxoeRdgXDo9iAziWKSN3X+Fe
hVbrDTTK6W8vD1mVFphig0avEppqSGj08MGQw2KFBeWHdCbaWB1yC4CtzV/81nJhuWI9dRau61+U
1xb1McxXogMXAmz5Cwhb/sWH/V95/f+FA4UlxJH+v5fXpy9J+f1Vv+Kvv/GrrrZpNxg2kHmD1qJr
QDT+u1/haPCM0Dp7FugU+J/MeP5dVjv/Mim1dffv4vk/ZbVBj2NpfzgwbVSTodKflNWvJdCW6Tpg
FuBRUD0bHnTSM87J5BlAPCdlJgt3g97Umk4guf5xNd7w9fy+xALhsTASMcvSMJy87o+Eg8xJwfbm
gIp4lc3UCuQJuTaX9O9r/n9YZfkt/kGFgTGIHTJmFad87pTnavwurD/yHizX6vUHWRpB/1jCSSqz
rHqWwJPpqDdT4jfzy/uf4qyXhBhdx2kB9ALPgebqztkS9kjN2ysuWjXTRa2skHuW1NVNUTQ7IhWL
D9BMv30zP1fDegYlCPfZOZrJGa1RsOO1wVRFvAk6/pEUiFXyqM799z/YW0tpOmdBvCrg4c/RMmpn
E0wzanyw2I3uYXs0qCV77aSKPlu9v9RrRxBfE58K8xuMW7pZrHh2DUklUScCE9qgbEt5keXItu02
JQRxnEcw42Oxg4g3/em9waKEaGsGZDILg9TZolYS0mWraJGhwbZWHBHIx2hdcxUq/OP9z/f6HPzX
59OJiKTJY4LVt8/8OBnvrbmulTYoppgwqBxVEt13QpczXR1hALbNdT0R3A0UPT5JSA0frL88r/+x
k/xa3zDYtmx3OdefPc9TZNaxmkVd4BbKuLGRd9CfGh7e/5CvPQx/LWLo3JiWumyRjv76WRu1SkzC
0zHgi0bbOUNM9krkGOFlrqszHDbUHb30OM+1nBveX/qt+4cpOScABoWedu4o8yyTY4FutEE6ZNMG
lYcgklqZgCIrat6sjCjGxRxjx39/WTojy03y+soSuMRgX1/cOpq2dHX+ucF0uVKnOLgApCll+7XC
/DVsEnXQN87ArmOFWX5L3xKTQS7Dg9Gpcjt2Bl9BOlJ8j/2wS+q2fdTj2UBlNXepTxF+o1tEj/mI
sEgcI/h9yxFR9Q0x9luNMdxdouoyXjlkTRNx4I4rJ3XSY2f3Dtby+rlwiTJ3XUZVldYHkpEJAFAM
E4qn2X6mOPEJ9da0yhpZreykBWTTynQfq7lzVN3Z/qwUYGdpfkzxSW0U+5jjRV7PKhrSWLGw5C8c
+RX+8dyfZSYvpFfMD4ngX+M6JhjIab7aeuEcwoSwewqt3u+cme6k3l2YmS4exnIybyhJNURnDl5/
VF17ijcwn1Izt4Ty0Xofa+3kqpzsUsOkBNbH/pYJDz8kc8WFM6cTPQFXn1Y9JulTSBBAUKVsu1El
45sw7Yevniimm3428HnbIVBZjDOsl8zfh9IOn+Jatilsn3x+sAcmBP4wa9/bdlRyoglM8UNpoG6s
UXmLR8JRScEcbSyuDKX4QcsFtkxIu5MF/6MQBYT5ybL9og7FBYxog0mZSQ4aiHsHzwuBS4yvhcNh
MFUuOZp8F51iko4l5Ld0Hh/MWf/u0XD4POqwXE2pJE+CMPS9OkEpRnXPg4Tm9PsM/t9bxUMzB2nD
jgEriS8BO494lCo/rxj5PdLRyQ6FZ3WPmAudNaI451i4Mj7VxRBuDKyPO7LaF/6rnv5UGPheW7fk
iLnqrtJ1oB68cKK1B3Ni447og4G1oNhANA5zRrNZQJ/tddOkYkdtnAWplfZ3xE7IOwHLdD23Hp2K
zE2smxxTypKVlB3wQ2L5V+jgIYg2r1yPy0lLRQv9oq11n/akcykGL033qW4X2zqn003mBVZFzgih
dovSO7qZ8EncpSUO0RWhCNYVkrh0F0eRutMIwHgJcR1C6taV8FIfPNhSGRGycmVqpQRKE5pXU0yW
2hRNeE9IcTpMddugmHe0W62Y+73t1fZ1iOl+19Wxce1oRXSBYpkEqQaOA26LActKrwYybmx937Sg
iJAiA6OlNxi+iFFiIqwHRJMGkI5dNcXuDxN1+Q8lCsW6U7rh2MJleYlJO9lEsjG1lQf7cENvxVuF
DEC4HiHwXx8H6recE1e67voxR3dRq4HWaUw3XU+/QLBm3qvwzTbh5CLMxo+j7VynbHfWYA5Prh72
zxzl4hvEF2rQQ6Xl7C9HgqsIiTRWham5X7UMjAER9cWlNMbhS0tg76mUkXc1Eoh2n3tiQg7Uucpm
bDTrOOjRdG302QJ5aN1rBIvlFzxiw007LdL1NBaXY9fYF9roTKeu8axjRo47umBgOnBc7bt6Mlx4
c9McNIPi9mvETCzQINaN4bKE4qZFYMhZTQ3RUZQ47f0EDgNCg0H9YXJsL1YxkR93DUMq0iTsLtB6
NiFicREVh5rlj7h9tzWNgJ2oULT7XZ10PgWluZGq2RzzwZ7TVVw1aAz0IozowuX8TIt+ErnpzNh0
p5wP/LYRR/9qPkyoAI5WqqNuhVnSrFOEEikpsymRMhwWthW4bt+hkbi3SLPeCnusNrUaKbs2zhKO
7rbBPeESdb/lgCA26tS2e5TiOR+jcadtiDthQ+wLzgWdXDX6DoLrMJIguNIhp12XFAEvkH0F21if
3eTwiIk1VKc1DrrmOUm8mfBFxwmEnvbfGcrNWz1yraOO6Ho30FFiaq+kNWajSnsRTklnO/eS8EeH
ev1x6sbhClNydvj5x/XStsDQ44ebxqjQUdo7w9UAouOqcyex6V0gWhvu4ZmrC/XL1MCWrX4uCYIm
o3SAkrWWk+51HPiF+pJlovtE5nfn9xbAdHpRBokdQONPZR2l6A4i/dYsx/BzCl3qsU+KAt2ILHeW
NYcke9BHT5UFZ93g/lJHmR1ARX7BAir2mKkR8ESSYD83zNTl9Q4HbWr7S0+oXL4yBkeN1SE52dnY
nxDc0uedtGoMKsWbdGJ5NWMPAgCcsuqilQKcP4K7IghR+mY6z4FAmd2u1NGeA4ID7Ttt7NQn0fXz
TUJLFQ1c4SY0Mt2SesZG8j3XkmVhF4eHcXa7ldbKfl05jXJfJzaOLmXkq3cNRrSVY7R7mRvxN0/j
T2d5Cvq/ta1jqFXeLmL24OtNRJooEeguHhSr3RMXkz0OXuLtyrKx77zGVsAAtd7aRU62iwhIX7fL
y67zaPH/dGsPNpFrgCi9deV12BhCHMpGO5n4nnC3wAuYD9hzs8PMHb0G9AoH3FTL7ynv8L3eqd09
fSYIbpEbXduxEl2JVHp3ZVr0a9vsPLJA63Lntob9JDiLCgh3OvHqQ0kp3hWlt9NDZbwWIpuB6av9
dzJ5lIfCqcP1LESq+a5i//qeMjGGPyaVX3Y0jWGr/jTaM9i8j0BFXxukKx5o6zELtcbkcyk7l0Z3
P25p2FqfDDmZn/pWMT+lVj1d8qayt3ETK/6UJMTr1GYc4GpDVUKb8hYfTLnRMUORx2OMlz+vurBo
lVUoyK70TEXlXla8+Lr0SNCstmoqZrclQCHAU5q6Ha2KcMAmLjfQHcS+mISxqZuCrFZUfzzEjjcd
pD7lV3hIoz3u2Clb/7yXgcKhflJMtOm0Go4zDoBLlJLhpsgdkG6m6NGXEXtzpTZpsben0X7ywrDf
iVA1LZqhvAzV2eTrn5v5BL90PmlN562jAVE9k+4sZgvUtFtoYi/Mf8ZLNgWGGQR1XzntPJOKaEmM
pF09PaojflM6iZi3ZgjfW0fDIp6TlLCSmZNeGRj8t9LQs4MpgRenyP+vNWdgANXW41XjdLy6nbgk
EgEviwGop3AyH3EBMC1Xi2FsjHm/99poHpBRdfWJfmeJw9gpq3tZjeVWsuFQA5VOd8TrLK6aaO7X
Lc5EckPz+TQNWn1oQnvYGrqGLZTwWeW+U1VGRuTtUjGbBI3kPduGGnU8mgT8pSswQHD13Z6wzAZV
6k5oZf64GE83BZTDg+El2osamdPJLJqOmIlBfUFRqEtSHyp8z2ZHagnKzA36Sv0wj8N8g9wNnBUZ
WRtXTC25DcjGkDn0dbMqAE+NpPpU7HTY0+Yb1R555hUDVtc65F/uTZKVYb+FcX8hBdzIkD96nRro
9FfQV8Kg01Jzl2C03qduSEg6DN/lE1058aivSa6MLzVkmUxFkuJOH7N2U7lpuZnrWNlxthctxodJ
f57KySUYuWzuwMWTp5glyjEK+2tZTw5dTnJih1T57jaILzSzfDIk8sE8ncILPkbmY4Fg57Sirt26
bjtsqpyBIji4nsliKI6EQbaS8BAmKlSI8aGeCZAWAC31GitP1tnFV6dUvnazdTWi19jq41AsdVsD
rd0BlDwn90MVz+vWVaKA3WrHhehp+hPIG4Uc77zMfWLe0a6RbkCuS7oGy/Sw5NMYLZZzVwDLs2pG
gU7N5y1ry6Sq0hm3YTI/jTVBiJi41hkmso0NxJDWq9FLxBsp2D/ZW0GGzgWLniQglKjv6q42bR09
faTikC30+Bindn1dlhmu4CiDTahPxWd0PfJr3Tv2naO15ujnbp3tZT/NhDd72c7MYxkoJFqNPqGR
5rXptvN1ytzirkYCu+kL6UzrcWwBxc22vRkdBkxhS2ZzTlDjtm8yunGAow9RqmGW0ETz4rVzcSS/
0gjmLLc8nE4V+e1IOuSYZceufKG81z6PHMdPmieFum51q7rpmxTxjo6mE8sKbk/M8t4uVYAKClfy
KBbosDGpKOiB0dS20h9D68WMzYZZBvCqK1MT6U1pCSZcydR+tlvqq9Woxfol4weBaSR2Doily09Q
QtRw1ZTSeFSXN6StFTVgADcmpq2UxzhxzVNcdOJTKQwroE0+HIgY6o+kR2dfhZmGhL/gd0R2I8Lr
nqHmt6IjsKa3NfMLRL1K5xGhXa8hPblA7UB3ReGAvZr60uSs2zFtnBAAPBilA6I4xPa6Svo+vqyU
6XvWO+6TXjnLUHR2UTvn89bq8nSdMsNdUePNvApjsr1XUhlRbk0tO1map0Fa9/mqth2Vr5e37WHi
VOFXsTGjCMKw0dUzIu7iXsmTp7FE5RWxy6/o2bpMfZl3ZVr9qTVSw8/snO6FajqN9C0qY7TtdnFf
ZUV1IeZc37dtSCm1iYopjLBiZrUryZjtBqUIOC7ZyvdJ5JIcYHJDNNSpj0IhM5pzp7vjFDOsdCUJ
H3JDERe8FPNrSsX0ywhI8CFtsuaplvXo7GoF5OcqCXErgr60SG/NMkoaUxHljWloQ8k8Nhmf4eMy
1ZHtkB56XX6PoMRipHa1C+gA5dGgsv1a1tjuJ5KgfFvJLueqh+bQGUq+Exlj2oGv6gKL+hAvE2xx
SSMwukwphhZ1JXJTnBDNqY3scN21pKLw/H8DLgPulneatyJylViRUBDzXXXyOlNpMpiMmB6hwBq8
uFBvaWUR3qCRqF5ogz2bcCWezWm8m6XemVsHDbyP01hDeDGzs9fKMhWU+R16wkGs47hpby0VTPs6
tLstQFR1S+wd8eDc8YHiVuYuRiV3oWc2AliidxFHQQAI0lSPXqwJGR4e5YpplhJt3Wh07jnq8D6J
vOJ5SQj268j7hJB2OKo1+b38FN1vxkbcmYn5zcnd9qqnqfUSzSEC6GxwsdAbU3ryvHnY9S2zMo8p
zq5ZHGD0V7goACo+OX1s3id91W5TmfDAtkRBDiU11RTb3tZSrJ0wYv2aM8jjwue8GuvZPjTMnVZi
EPamzsvwS7WY1/J2cGkTGimYwHAuVxby1pVONHAwoqOD7DeUt5BQIypchX5zIfYCNfpNmCj2tdOo
kW+ntn6pxb3xQ4vIwKnSod60MiHEl2imq9Ia44vcyqw7s069EgAO8gn5OS3Rw8UZxi22201fkyg+
i1GFRCNtMoWQj1Uiq3ZTb+R3gh13JceyxvPaIyLP5X2Ex2I1OqoNqqKadmJon2O0wUGK8H49UAge
2EgVJLtef0Ep5xwGwKyXXdRk1L9V+UOKtE/8XNQvRpPWnztXSFwqpPhmL5WapupRq2UIHj9Mfbol
ePmiTr+XujJOa4J2Le8yyVsCqsH0EZZttFUNFrCkjbx249a7LKc2vy8Lr1wV1uTtYgRJfk0L697W
u+/jKORKRUC3bhujPajz8NWxODVYOXpqiioOSU0/4R7I0n2ReNqSwxUoYAgOPP/Wk1PYj0VEbWyG
BIBRFeY+7Y6vnY5jokKsR6QY79dpGBiJ2lBf2bnT+cJq1RtqKJvOGW0iRbraV9PLh6NZAQG1G4NG
SgZiMAq1oPeU8EeMFOwaIap+043ej2Y0lceIR+9BB04T+4wfm2TltUg2CDRzVkiIqp3qjZJZPOIZ
9KY96m46AO83Qn/vgupMnVRe0LS4dVtDxPvPLqjReXaFvQIbZJPmSJD6B1gscxDZnG49h0b++8u9
NZkwGLaQTLGohs9lZUy7VQ2VKsthQbxv9GbHCWDcNASWfTBuOcP8/2pqe5YO4chi4nLOG/Lm+VdT
257l8LX72aSfQvmNbKRxpeApP9FXUndI79UvcbicKHEk/B+692TtgrkzDVzpv00PHEOAfFYReDmR
eWPhvjnVEX3SP7+ofIVLDxv8AkLD19+hCWFSmgUzmJ/jEMg+9CO9aUTqkdYffH9vjSPMBZ2Hjc1g
xLh8v/+YymUjupUJjQR4hyb39aF6tt3qAzThR2ucfZzEQv/K09oGmi5Os40ewy1u3r9ib94c3H+g
G7kVLee3m8NL3aHVRRvUvMBOkVT1g45UfD0TBvMUK4xamrJXl4il3gfwre6RHH002vn90QOCaNFH
5fnzfk+9MPHyGgtgLYjAQqC3FvaaCKfmIlfSZp/VXum//6F/v66sB66X6HCLNITzZ6+htnKn2gAx
AfzsaNrTjRNrzgf7ye8POJEWZDtY9Hd0w9XORkmgQ8TcZnkTJCKS665GlVXV/YUDRfaDW/GNlfgQ
RLWbtmYZoLde34pelyQkBLlVwNZWMr3tjsbk3Ndt+vj+ZXvja9IcbA4a3xU7l7lMsP5xy9t1kRle
61TBjAqwzb8oLvDZrFwnTXh4fyX992Gj8Wqps2EjB1U7LGyWkr1H96404ewPjiBLGhfipunL+WEi
y24HpjFs/cakxadiDfhsU7duoPuLTcoIaAcVsqNLb9AFQyGWHSw3rQ/CGJV9NMTzKYRic2s2aNok
epoNxZXY5LpIxcHp8/FyqCRtrEnasB5oO6xQDs0ffFBMH+ezN0aZNPdBAIBPtc6nfhDsFcMjXySA
Bi8+EcutXmq9ezvZdvKlmCUxYnnOECUPP7d4l7YOojEGV/betok0tBjPaE2drXX5UIRURzgsyQUv
buvBxSvG6bKosmbTZYCTm4SUzxAZmr4CJU+cWU9oo5IqEr1SZeKOnwdfCFdfs07qc453LjITLQPu
3HA9sl/7XgT63iFC2WS66HG1dIXice7UFyccyg9eWm/ca8iRQdSClXV575/dayGKRcawE9clJbSy
1zyQNX05BlGKVXA1hsYQvH/L/T75NdB4Y97B27Ng7M4e14Z47X6oC0yMroDlmVTFpolacWEbtdiF
biQuYvov98Aoo49CR36/BRhrL1lVaHF+F1+0ESnUsbTLgLPu9NTbg/bc0PS9RzGffv/jD8mUl92I
Aw//O5+hMxyh6JxkGSDlpjXaL3Qj2sEdLr2y3UMAwBXdMWXDfKLTuXt/8Te2qYWZCjH3p4Hq3PDt
ZJHk7FmW0KJAwTRDeR+hsV1DP2r/uAwAOsnzRM6Y6njkr7zeqDgIdhGpmXmgu+6naVp44C5snDY3
jD++TSk3EEwhjEKGoZ6bsOquqmTUy5zhohz82ab7YqRXw2DZW06f3/70ApoqzEjqG1NjlHT+2iLr
pS7NvOFjwRsM8GuWFYMEGrtdbmTdB9fw9weQxShtKA0splrnr6+GAXFsQ4MIZsW8jw3lUzO739LR
uI8G+4MaZHmWX+sPWAp9js1H4/VyTpUFA5dMpcI01qjzjUHDxKusfOXk/byay/5Ar+KjavTtFUn6
Q8a2PHTnrxe8Vm61rNho/QFYypcKmIzRZg3QLTtfxVL/AHv8+71vqhTei2EPJAMjn9d3pNVx7sBl
kAWKlIcp7wPTzIgkVj9Y5vfCZlkGjQzEXKqPc2UVKJ8xSfjRAanQyr3ilOa+Hnkjvn8f/r5Vsgom
afwweB6pG19/mFHRR3J/tSxoDY61HPfWeSp/OKV9gxuAqZo7rw0od+8vesbEXU4xrIq2yrEsi+DG
80eNFFjhoX/JAs+aaIXlwHjWJRlTp9FjVIcZgGiOCcMf6bkmuEtn9mAXdqqzE9i79znDpO1AWTRP
VnPrySzzo7qmOFjKgqbSrSPaGPvB0wcbR0lnffDbv/nFuN5y+AHPZp5/Mcwl45z2Zh7Qoio36eSl
B2Wk2fH+NXrzLltcocAwdFSDZ++wwmx4jURVHpTCIeqn6gM1g2zjiI+qljceWODT1LbsQ6QOnt0A
FuktZd2UbEQjHptMCeP9aKvj9v1P89YOhEsWPSL2VlRfyzX9R7k5p6o+RlLJUBB06Yog8GUyLsWm
6/KXPjX/vIrmzIhMlFcGyGm8vK+XA2ll96guMs6O4bfl2rWJfVO04af3P9VbDw8WYJtgG4RsvwWM
jR1Yh7ni4ckTy73OJo0+e2h9o+NabdvIcr+STJLuUbF0H7yq3trzftqOUdC9ceihf6LGhtmDQ4n0
K1EqX+Y02tbpIwStO7brD1Z764bn2KNzs3Oy/E0tmPMZHbDtWVBHdbYrbMu5GfRU8d+/mGeM6b82
BS6io/M6wlV9fuD3JMw7i75b4MpBfUxILNkqKI5XYWr0OQ16Z3hINbday0r0V81UZpdW7hi72EXY
NU81HqmINGKtCeUmH1yGslKmH51utTevvLOEI6h869Q/r++sNuxUnDkFb5vRpFcomi+a8PDHGm63
Txz3kxzpTjiEbV8Aqk8es6Hv9qFXPceMdWe7Fod6KMw9XSRvZU9KTWITn+P9C/nGs8ZgixIUvI+3
1Ievf8WcgKIUQkcVkK71rZ41sVVrFFVhzhB7+vL+Wm9cDu2n0JB4KpSy52WMrk2qitOY0j7Uvqk0
HIDhqF+6ibRmCAxLXrQtPqgw3njoNI22PRUNb6zf9M19m09jG1V8vNR6ipNIWetWktPMBGAFJLJ5
aNqh8RnJ9sGff1ZNQ85JR4oC8XynNDFoJ63bVQFntcvGHlrkufkNsuRoSUx/hLEV/XndxoJLGwC/
Kt7Vs2+SZ2UQHTlGgaJGUPO0ntFkaYib/8femexWjmRb9lceas4A+wZ49Qa3b9RLLrlrQsg9JRp7
o7Hn19eiIjLhulJJGTkroCaeERku8V7SaHbs2N5r9xAVd7nLRvrzb/jBmsP1qKEsFjaKxZPKJg+V
LeKSWzt0ERJuG1+SXpXVirA67z+5VKAHM4CKTIDTRVR6eF/ygi2aEZTFFfzACVhh4x7j1jC+mL4+
GqMQ0xmeNtPKOx1why6mmOgM7Oq8vWtF+ew4FS5Gnl8cVdc+3rO/vTliAsOxbDpEL1Ehnjw2Y6Dh
btZTsZvMCaGP19+oVq0kfYAvLvTBxIy2GNsrcQZkgQbz8/xtVZVgmjhNZQuYRc4D2JKtP1V3XwwJ
i99xUtC/ucbJmAgwDyXYyXifE89YwISSh9qpnRuzBYseZn3NXZy5Nb2Sqxm++q3slYdigAOb1lcp
zb8WSVQRc9xDGOdaswwDz9WY7WKrUYfJtsW1GUTDshi78Eco9WKbg7wGNeyPS7Rw4V44PmptHWKi
YygEewlneDdTkKO4KAzMjGVeq63ewZJgAzVEl0mmUx2WMZGAaawuBckeW1gU4z5z0Gl1lsjPO011
OxD3d1AW6yV3ON3k9IrUQqAW2qFQgt3QT3IdkruGYjDtz0qbsK8eSurm89v70di0Dc8zGCcwzk7n
T7eqq2Z0GZtoBZ+qoXmCAXtpW9rGyiHhaH35H7x21NwUe7TvUcabb0cMvueigqlU7IAfzT2ni95M
931TfFG8vm/5EUI+Y1DpZdKmC04uYw+pgEKCpw0l6bWUMYCw3v9Vpd84iTrnVBp3rPkYqeKLLZP1
8XXp0nJH2Vyf7isCmVdEVDn0RMpx+i4GWCG+srVr1O56tubgnD1O5eThmgANvNEQYjnhAnwFHKPb
w5lfOEmv7S291TZGYxfLEHUYA05uMX5wjBUkPx2jY6MOqnOZelO0ChrDpffiTSvo0rfwwYCgTU61
SJvEBhY/Scj7fJ4VLMxnhN/GVeJn01YSfbTB0cX/Dzl0KeomWXuaZ95XlvPVo/hoTncBwADIp81g
zaib3+eIWK+dvEi7YqeTfIjvZTH2+jY1mu6LkfXRXPTbdU4Lo052eVYGfbHznUwHeexCfxNi/fnr
8lFp40Jw4FyB8zYQPW+/jF6ZsqxsVew4dCIA3cHHqpsPZQqHTNTjF6azDy9Gv5I9C7Cfd2Wvq5iM
CvIxEeG4OTvRadvZcoMMDEFl81V+90cTgUvbn9UCy9674jcD7u8mSCl2KlHXZu255NCND2WmnpsY
85Zwv7iTxkfjwmOXxAYWLxXhUW9v5VTLjPtLnZYMmcDqYRoYt1W/N+nFr4hXEDtbVs2SEA/rJtZD
sHARyuaojItzP/LTTVDaIwjEkTeqDiN7+mI4ffjxmBBpI9G/DU4nxn4Ia9zrlDl9JZ+tILoXZneb
WRwmfz6iPrwOLn7U7rjX3hUHdaeNwLbdfMdOVNLNaZ6KUetXZau+WEg/KltpTuFe0+c/XtEkv63V
Vh8g40aAtWsQjosanVtfXCsM9IlvXAJvusuz4ItGxUcD+LdLnhasyWRnCHX0fKf1wzZqy+fAzlC4
ugdVdl/sOayPxi87Ug7JKB/ZC5/si5ret+U0eDnTjDk+gid46ePAXXZAzpe0b6MlYLh4mTMjr+Nq
FhxrxizPUih/gq5+ADIkHsLKr3etiWwZawtmA9GQMDwF5covsgzPd+1vBq/3732HWXMBAgLVhFYP
K5gLtDZL80XvTTTtJWQCqT8mUB3xJMp1Q8kX+10P4sWK120+mgRjGg6Lvel8MZo+ugvB7NSlxcG4
PT2AzYgMJ39RUvkB9AArB1hPtx8c6RzpmT6A4uy/uOBHj3i2Z+AY9Gi2nt52mZCkQ9xDvourQEMc
0yq5mdj9rixwHOGinoWpn78wH3xF1vXZbRxgxHm3uwzc0c8b08p2KXDptVCje14IKrQxKeuHBN77
Dh3Sz8+v+arXOClC0d5AeiGMiNbd6boeaSPYAz/Ld24+BUvRt+6tLYyZzDo6R1Fm2b0k/wfoOZKt
V52yL5rsPm+nZt2gJdpqfY9k9osP9f64z0aVQNdnnrXhb5tvZ1CQ2pMMO97oegrRs1mRvUGVZm3q
ENRtAIZowUhBPuVk6yBSArxqnSK/to3V5x/E+mAOm33hyDHmnDH7tFWoI41w8ybO8S0nFkcjs7g5
trLpGoFl4Rx5XN6+SZAk4rOAxZPRRDbIC89B34vuqrd6fTOOof5d2BTeZjPp3ymLi63oGVLYJlKA
NIGzRZf7DABswZTdrW03EWsEg/ZKQcck1qnyYLq03sqPjmaZWrepVQyXvLY4UUZehAfht8Eh070f
ejumX2zMP/r+nIDhQffmE/rTxhHttiSrG4vvD17iVuDP3Q3uED/EhiY2n9/rjy6F+hKtAW50lo2T
VZNDp6rK52UpgCe3kpU/W3oGmZK6lkUPn1/r9bmdjvq5+2uxe2UZPN3+F5qbtUQUsDnonBB2HQfG
OD4m29iGsuxWhZcZR4Ow76tmMPsL09Sia7PRyBW2MrmVQEL+rOr/Fh3tPP6lyrp8af57/rFfpRxJ
LRbN//z3m3+7KxGf5p/+le1zefGUP9enf+nNr63/5/U/R8/lzMx+8y/rV/DCdfusxpvnGg3/60f4
62/+u//xv57/LXwDWgvWs3+hBN7xu4/8mvZXOr4hOPz5Q38RHHyA23Ty0ft5tLxmEvdf6ax+8AfT
B+uF6RGrx8aMGf4vgIMV/IEjISCJDZsvB8pAun/jT0JbgBpJj5tO2PxT//z6V3+OIO4cT4Tb8de/
/xciuiuKs6b+3//rFZ/wZqChA5mXbhp4ABzerSKWawnlT2F04BC5Ect5W3fdG9EEARDjRVwRIdzp
PxPKiL2ExsKWqPSDm67sGib7vNtalVFtIU3r+hcNDpqITKJvPxpfDk4nXXYTwP2p6R9h6QhIyXf3
XufI8jIIUv0SVzAkTBCSDvlbbXkbAwi217EKF01Ev1iTHXyzIWjDf/js8K5rzr4qtZajl3sPE9iW
i1GAxQFnWRs/2KM0rlpnnZwQ8roajGE8d/olICC/1la222g+/F6C6mx0j40gCITMFST5tpeqb2Ls
ol05aHnSY6vNqhuQvDD3ba+22DGkRXDwVWusSxMSz6CCO9iXRAesAxJHr7Cwtt+CUmaosqu8I/nR
BPzf9kn1Mx9z/cYOrZKjElvJZBkLBJsLHy+AgR/RFBnClxL2UIxsjWS81rKvC9QxaR/1m0KF95C9
8QHGkzqgBcZm21r1r1gX6jLIsRO4CV6YqDzI0q3vPBJ5r4xgGLde3TbHEBfJYdCgPsXeBOUmCxL3
orKt8ayIBNizJAU7B2X9RrODH7qVYPyCu1xSg2XiuxkisF9gkurPtajUrjFkB8PSE2O97uNuOIu8
6VZvowzGW0siLVxmb1H3roEWOtXsn4ocP7yrokZR79jTsrX02L3R/VTedHFhUQH6+ZXTTZ7olpYy
0nOryGrrW8LiiqFAiy+nqVrbY2huKhSrd7SmBxx5VsGBlnTIUMiLjfQakS4Nxe60RgLAUaNn7AYr
lGvOGLWFRejPetBlubenpl8aVeRec9erI7lByKe9TD9EtP4O8970IAw9i1ZhoWffZWPUhAmVyUvV
EzpKDL0mb6s6ni4sMrTPLOrZf4Aycjd22FRw7fj2JAXOICgAy1CpSEPmvtubqeqHaiFTKZ5Shj39
bDXAc08VlqOov9G9rr8IIGcenb7mlAMByxbjDblRGnJss485CMEccSMaLC+tDpgrUjGgrgxyd7jp
u7RGC1jZ7neHX7LUBoDzoR+0a9DoxpMZJQQLJuP4jA8wPGeZs1c+/hL2gTZhjw120x810YlqGaKw
25udS45f2VujwF7nFSOmAKTHC8/Bsrswq9wzZ6M/0n4UOuMK13404dQMtTsHT6OHbyBr9sGgjGMg
ndJZD9zHPY0UhWHGyMRZlLrFcRA9dw/TNUQ5sINJ3YlNNpoOuH0/tH/lWI3dRYxy827qZXEWZKRc
LeRUpeeOk4Qbq0TvZBJSwttFdKNN7WPjcSMIyULm2QT9tQd83NmSMefu00Z9C0Q//fS6aViHfW3v
Axd9Er7RIF9JQysvmAn7H50YfehPvjsCjSSOwFjRZkxna1zRj4uyVh7GZy/Ap1GpAfobDffuwsol
QiRjoqGHHw/9mdE1Ij8jWLDBljJ23b6M3NJZ1Uwi+TIBLHYJ7ctVC9j/5mWd2f21qzpsllMBhmEx
FnV2CVFabnHL0/xABFZqGwWGFWGnmtwLl+ngSKGSkQoUZvk9mNjqJm6tplzDh7HOw6onsLFqyhpw
ZKVfxn5S3nkAZrOV0cb2Si/57y5jNMDOOopDNznqvDeFuIrNPv0GA7u48x3Q8NEICY+eW7pmemby
deo0/ZVEjVbAHSD7B5+acq/IlSSME8kpvsahqoIb08K8sPb0POKhSOWqja3nwbOarOqACqb/Efki
W3YcedzQqqp2Q4nqX3M1hfm2FDsd0zE4vErYR0GW98brO3ULRI9qLDRccU3/iLZQl4OaHIcccKeq
oyta6BIqGZS2DK+1qB/LUS/yhW1g99oqqPfr0G3TJ1EFlbFwIHqfN1gASa00ekcsOOFLMb2NjbjU
hkZLV05XczlioQhuMcfgBgdUv6k8t350tYBLRIE+ndnMzZtktJK9SkFHVr1TrZkbhn3ipeF3Aq4M
/mDQMc/zkqc4TxejXhaYzyZyjwFamsUycSrvzIgcYlK90RTpQq+N6hAMfRzuu6Zqj43vYtfnsWFA
EcdcV2j5Wosv2Rneuhbur8TSe8hjwMXSarDuY6OR+0R63lVgCYOr5r9MzJ0MRCe1LgdSD5KQqX9y
srNo9MNfQ13uA6/NF66jDcvIyLWVr+OxkNJOLgjk8bY2WGV+YBrMy4IXHaBE7PcXTjvHOZgth4IC
p1Cr+CP2de0R23R1rUxrONpORQQgoIPih+0E3S9MHPUxBS67Unk5bOe6hLS/tPzFKHUwNo1ezNSR
eJ2/HkUozuoSi9aC5VQdLb8aapw18ACXRj152O5J47RXhGsE1mZUZIKthqnV790E+/K6cqv0p914
UQq0qkAGHdmRGa4SsJvTosGZPyywFvWQxl87tmnc0bXudEVIokjvKeF4XOJJs5PuUtPt9GbU3dsU
69s2SQgbXVu28ki7r4V1Xsc9vPqZUH5JDoS9p8QqH8cybDZNq+EGa3SeV4gZg9QMKykeLafK+Z1x
9w8TC+da5zxiXkRVfu5XtXGGX4zpeKjHaYmVFa8VdRes0cxvcOPQ4EqfjMDDXIjxCcOWZWPLDCRd
plDjWAbanY2vFHwjBBCUnmutrPKbXujNBTyB8RpVcnyLo1a3Vm5tkJhKkhH23Lq+gUnJYu34zrlw
EJBi6jXNsxjvhbMKhrqulz1R73iCcjJXggwTVchBza8+GaqfPj4uRKqTFhw8G+IHBaZjqjX8/GBN
kERjL1Svpr2fIBLGwdS6Z02O+ZgM2Qx44KBNZGF4SdKdVQYZdIueeQR2bWG7zpLyRD2YCYEe1x1Y
O3vbsuhf89ZiB9YZAyH6MyC4XaJYCTi8KqpdWnE/YVcCQGBptam/yszyb4fBoO9ZeVrN+BpdopeJ
UFqIwJJbv3Sz5FzhreaYihi3C/iYw70yg+rGsHrvsQr9ZFu6KEwxxabaL/J0tYOPC7/YVrUa8qU2
p89iTpxYMshLbbcxnN4rk41VfvBBjl5GrSdfyDJACEMGk76XPqdYqH87DYNX68LmbSthNUcXY3D5
1yni39rW/Rsbtn9v5/f/0LZu1q5y2vl/39adYwt9+iXa+rlp6t/3dn/95D/pfMEftMJcOmKOY3Hu
9Dudz/rDwbyCOMJ3YKM5Fj2kf+L5zD/oBrOz58eQSHDI8K/dnW38gWyDMwcO4t2A09e/tbt737KY
tbOIVQwkNny6kzZVYI24LKUmd5DbX0QZ0Q3zy3CeiL9qRn50JVJ5baQxGHbeHWZm0FntaTC4ksnr
hy34URblsOBNa7/aF57uCrlrXAMRDtIITFfzJ/mtmU55QVAhZTLuprRdhq1+WXfsHdxq+qLb+cFX
wsqCA2nuK+nvTkk6WizQoycJtzp9SbP0BTD/S8L//jauPtiBf3yZGUnOeSmqiJNnhNQfy4AzyB1H
voT++lW1YN2GpzzE/8GtY6zSTEJMjazwVOMRST23ccpLUIq5Ohv0Fkp2afpnqki++FJ0Lt5u3cnH
cBFAcFRHsAXOuLcPiSwoX6PGljvRg+J22/FmjAZCCMd7koH8L5qg749XuBhtEhfVPYlnpzJxzXBK
3s1S7oKKdFsPVMMu8QmgLLX4SfdBTMdQYBYGIbp/fygiYZl9Y6+d6dNHB9O1NTMioHayisvbFqfm
wgngpmB3sr7oOM837E0vZL6hHKszK3C0wFv99oZObdKOeBkkwmMAbznghTWtivD274/F368yt71/
e7d8Osyd1mZcJRjg+ajhvsuJY6Ct8B/dut++z8mo70EGl13BlUTWjit3SJ6mEubZ16/Xe2Mcx3uE
DtFKQ2sfYJd4+52iFnuuraFgbOYQSkery0UzcCjVW/b3Ksb+q1lUKH4izI2jAmfJUv6FzJZMvHdP
D+2k789xfIGNC2Z+XX67r2WYO35eypxurlmupE6w3WKUDeGadj6ug1AvV0agiB3DBLEjIbRcJZlF
ahMhyoeuQkQKJx+wpo+OdqnKAi+wiPPla/LUDE3dtF76MuJw3EfEiZ1Lryb7FGg3IctBWS1KyV+h
ZM7XetqbS/JMoHkPVX49qsB8SD2z3DthEj4SzzVSMg/OLvQgsJUjWJ0+4ZUCuw6MrR4pWRdEGfur
riJctGmQQLdpVqw5ZChuoY/YBxAJ/a8qZKExGpfPDsfhekxsIlD9ukuWwvNFuSb5m44i7BeEnXwe
bU78zEO+dNo1clMGkbyMzKlcNXiKOEa0wpA9c5sF4DetJti60GE2lY7JNqlaf6UpqS1znW835cyd
Od7lpdcUJq0K5jci48B24NUHC0MDjcPJEkw9gpyDnXfxFuFgeTT0hnNGEge2fpCTFZyhK4hE5xyH
CNZ+5JfZvdunWF1qS/6o3Nx8CPnuoJjhx/yQud1OfKaOuFbhyaChwh2ZbgbXhtGk2Sq7r3vgWL5W
59ek0jePIbcGKEglL902edENnmmLOf4BvNPLUPfhbeNO5b6fZ2dR1wSmE8mWEisKNJPphfoa/plL
cPwQ23sWlWYJLZpI5igj+cFx4xlo1haHOMKmubDbKL6ILBlcJm5UvLA7NS4MAIVblyDpYmVqve8v
Xt+8rAZHB//MPxPk9q5TNhYPaKBg6cHhX+aVjO78CVYEGM04fQwg1yxyUm4hjYs5zh1GzQS2SLnZ
Ni5MXZ4bbSeDlSvC7rsIJeFjptGRXF6UKWm6LlmQZ/BOpweS3Z27oUjzF7bl5YHvONLgZ/LWdb/a
2YkR3Je83HcWBXGyxKDuQNuwHaiv+AY6uCJDTkA58nUUOiaPoAmH1AHAJyN2VBHJz3riBvd1BX5b
2vqkLYF/B0iGAx/ygZzhDWAExD066qhDtFYkTwEHyZug4D1iSwLgPw66bFt3xHH35KJ+n4DubzG6
NgjNNGXGmwTE57SeEj8l9ZJOXbsgntr4iW1hDtzl3SIJbDRWWe/U3zqvkT+ixHaO3pgxjQ8lH1a1
mnVwqf9pHvextjRSnoQjovSxisziQD+3WKuhNklRSF5o+QRn9DmsAx/E2IBDG1faWBPgLHJXXADm
GtZ0WWdKC0+otVh98eRmS+ErfwXgOLxNOgW6RchBPBcycHZF6nYL4h8JtLWN9rusR5r6eQnvKGgZ
CFPvF3AR4pcaEB10ddAwtZFtoS49N63yVqIebovK3DVl97MVY3zISRVet6F0j6zG3rVoeSmNgo+l
G1l33jUqWJMXIjdIh8OFKb30wTfkdAQMsCEXkd7JNMhmmfcpdPQ0JorJajIG9WtussjkuCIXO7i0
qGs3lcZbn7Z03btOEkFYQ+OcFLNb3jfd1piXfmnzvc08eYoJQ7z00Q0/kbTrX1sdyeeEBhh3Cc32
w9AyovCGho/tnH6sZ2O56hAuwlCfeI1yvwJKX8yue01lNKJq5hwBAvTacFVFREn25DhMlEoxf0Av
866nGLibqdS4CtkLgua3Wv8aOJM6M3rAs4B9GYZtoCpSBPN2lYwJk5jZliu359Ik06ldDG9iiUe+
/yVQhskiK0DE1EBtsLKtVZxd4mgsN6KHbCjqXF7W1Vzal2Z5zAzJYOorQa85N2zkatwd0uH7Ve5y
JPE66/Yi/tGkvvGs98xW3TxGHH0yLtKwiclSH6JNN9Jd9HqKmYWmNQ7EUGdTQ6oj0lvR37UmZsSG
ZONucstv8cAdmjxyCQbdI3IF1iQGooaZO9OJwY5YDe46GYVLn2z2Qzi1+XXdMvdoEbNHH/DSE/3J
PacFsLHoei2ioosvrNDUfwYGZxOdRlJ7WrYkitbZrnb1bpsItCR5EGnnjYovrdjqvmtJUl+Og2jO
w2R6AHvVP/gpmdf+iFORIBJnNwXxtC4EXRYQyOFVlv7wKjBKsSVeymjGDDTxN97ne9Xp0c7EXAb8
Mq+WjW6hzRxrk47BGG2Z3H9qTtkuTI9Fb1ZD7LVYZPcAjIqDKphx9Nw37mLdkLP0v8fs+zrJQrJD
o8Ez2LD9I9DNHbwl63ZBtzMb2h2iFFttCxEsTEPIftHUAXENHPMwmSXsMyuGSBLkSyPS033RV3oA
o4osgIKIXLUaCQfh0EZanLtbUdXo8CX7auYGmt/q3MwPfWXlB7rOOrlEflsd6LeRn2ogislWhNtj
9DiOvTnkE4sPKaTnbu714U3F2QJa8DQBCWbHHamONJUs+iOALDv/YHftnGLptha9N7YDKBAWE+7y
l3pMBCBIMtSepYNO3ogjbz/4niRTdAR6R3Xj6OuqHpjXR38+3142qmmuCpfsEZXYwNuWpBgkqDiE
slcAdI0uZ+6pH/1UT5tlOWS3fWINMJYMN6JCICYlXkhv7A5FlqSrWOo/bb/dySRJYMZzKGc7aAJM
l/eLiaO75phAOzesYg648Wj5abY5bnlPTYtwBZiVLW21nVnhVBqq8CkVTgpI2UxBZqIyosNjfEdd
MVzQIIPdN0RgkQvbbOncZtZ0wesa/YoyD1tQatTaIvMGchYyTdvHA0eeBJnkzG+2y/RtR1QnbNg4
W+1tlGIryRfepRz/50t/dLrt5zX+e8nIXBADUye1Gbfyu12gxBMNVbxNdyLP7UPb1flLaXFWuOib
vtZzmqGUVhnR8sgbEqO5mI9MFkaKOFkalFWxyp9YuIqDb1b+ajTZ6pBFXOQcaLXO0YZfdlYgZDxL
3TpY07+P5aJpQ2cXzW5hC55uuba9PLyFIWE/WS66k0XAH1sS3rzrMTSYbglLReEdx8nj6xxYFKC2
CaJNzS91PPM24822KqCO8NlRBdhwLQ7U3xbm9QSEt631bFdRTKxcs6fxH7UcUfmKmgnibnwxoocU
C3OixkoDENVMfs4RxUkUA+v6at/8TmE1fx4aNkAT5jTIU42JFwG6xT+Z7VRugFMejyplfem9+KnI
2ptwZMn/fDS826gzGHDScCU6w3Ou5ckNsDsnj3qZ7bqKgrSACctiTWlSkJd91GyYb59f7732dL6g
58zCNSQH75w0haLYs9109nSD4p2Rb+UqrsmAXSUMrAZ8yDqtGWsucdxXr0twDw3T3QqzNzbCyLQl
HHPnCbhhtx1gyf7dfTbCCiSMOFN5Q7gvJ/cDQX7vohCMdwH77a3DUfZR2v1X7+C7jgVXoVGBix4O
B3r1k/1gG7dd6JK9tHNtKlcXdyQWWMKBKjOgyHdTSJFjQuUuUirOzx+AOXcK3g556gNOUWY4PUcA
p3vR0UhtfFQ9Gt+6j8JdZpfBmUYu+2PeUpfWZe+MlwGJ2feFPd6nwVi9aNIhW23soII3ZSE4vY8U
/e4qa31rHTWSWo4TrB3Fb3CWlEX9jypES7LXQuxRf3Zc/n+/+quQRrxnDJJP+tXxL/xuT8WbVvWf
P/RPGZL5B/LA35VI/xIiBfofIJAMoglontEZd1Hi/LNV7f+BHwwFmou2FXf/PFT/CsKlVQ3VGpf6
3LrkpQGddCI8+lSIdDL10dkyELsh8EdwZeMLO3knqoGjVdIHjWOB5qCpll2Ux8NOOezSQ6EXyPBL
McI8TFJD66k3OU0bJAJuhYpYOk9e3BWmsQIVP9cmTuJO4CjALNjJMTIrgqmDsODdIpURheZvd/rq
z3fndw3V/Ml+e6NMJmT60LPml4nDYdp4O4f6dduT4zVxDBnpw40hCm3pUCOdjZ2nX0CoZFv6+QVZ
Cd5dEjLGvEjQ13fRlZ30V4kgBNDcltHRdYOzsvEgv2Zkrbpb/FpRpZOooFU7Q+nyR4BhkNCz1u48
exe4TDwbJ5ojyUMvniHSHTyPBUkENDHMBmSzX8SetS6LdrjCZkzknwn/aGuHRXkEMQdnhIYKS7aR
hspdVKiXpqUDQyvdoIHgXmtuN9xkE5WByYHdE0zrsl4klc+lAnoB0Vp54VzxOwSeLMBY0xJweSJU
tk3dthuU/+P56MbmnTIsBkFvMdcri7V3xIMJ5KSRxoXyaSIsvSgeCa+Mgz5a01EZrnRhZzCERGTe
GSiCpkXs1Xw3SJHVD40swavIJWWL3kDsD0QQmPKH2fWgDd3SrMQlsbx8omB0rD2rrBi+qWpGe7Lj
NY07MxFGjbiVE4kLLGGetnG90ZXfTastxKFRNeMvIs2YXhaUvptJFeYd7CNzeJC+MWiPltlw5+LX
2PKRPROB8NKnvOsAS03QJDUunck5tU62pGiskThQUA1TpXcLDdKguAoRgLiLEpo0Ae69xfeH2OQ8
JUzh9+3IhqNrFT+OmIfdTIXjHRMOv1qvK25SPNo8BdfmqOu76Flrd/ak5/ma+2i1Sye2uC2xltFE
GJymmm7HqeSxdjN064gIPxOHaX4k3nxzAhigPD8Qmseg0mhsxFlDPjQgzP5cROCMNV8XpEIMvLzI
oiGdkmdq4PZXIy9hFtDdWCjMrd6q7MxsbYdehOyuMsAL98N45zZmc8Hqw8YoT4A6o0Roy6coaZzz
cYzce63zjIu+k9kVeonoyaQzsaNxbPvL2Cy8pyJKuwdp6cmwMSaGrOj14arru8ZfimQuqHOSIMaD
ObjOsEa9ENxr+PCaazNGYbJyOo9h0ymP29vHuasu9WZwUHU7kVbgQmgry4D0a/tEpLBltzXzF+1S
nl1sUSS8jMnYyh/8Y568YPMabuJcp7/gooRelhFjpDYLs12ybTXuRnN+8lmqVe5CQ3DkEqw3ZfQw
SfUgnc3k5fKImZi2qSz7cFPrmqy/16Ez3FA+8iJwMM4Njk1putsUrOjRMSdakuFQs9nuEhqGSWgO
VxxeVLsWFO9wZhFagUigbLkKHapkgldQ05cbhoT7QsxXHgJrpcAtRGqqu3SaNO2eXJSpOmtMpamr
cQj4JOQXMv1OOXu4bzHCnfQm5IR9N+SaquhEWtZ+6uaafhpz7iUbOu7loPfsAoIg4kZwBqV2YeZn
A1UD7M+DrDATLl8HcjpoPDhw+bzHbje/FI2y+S1DbzGHFnZp3sWtZlhLDkuE+30gqNW8TMKAicKP
jFelSG9cCNen0Y9jgGtqaZSQBxlGKnlUhuojuQBO3vzDCv0mfVDMEAbpKiEKp8syLwrXp7bRwmDt
ZRDc12aKewUNm54c6srjmTeZMi6SZrKGB78Nq/TZ8QrTpAE0Iptb53pnmpc5689EEnoLr3kfFqZP
qgFyLl3fC9Nigw7uiOa6hnP2MR4mLLQkg14UCNy/O10bzuj3Ww8LNgrEvGy/jeVIiGtTixUDo15a
bST2VhaEK7ricbrIY7wthmWMRPR4ubOj7eLOjtWk0mJ62OxtNja77wItmhzDgkmm3Evp6/e1I82l
leuPGn2WRVMAJ0tHkjhjVHf+Dk5y9DOrQ+95iMiIKgxVkMnonrXIVcd1mqnhGshm9OhYXbHOWaRW
lH3WDYduxaNhE75qFjq9HsJ2yAVrPHUVRMDpPZmyWSTcJTuPZZR9MxNCMQO9bjaT1rD/7gY0FtDc
1xw6ycsum/Izh/bCuu297JppXT4mQStuOzu76j19SLaqgtpbjcBVderObReX8W1Uu9k3OAt1tFFN
MesCqQqytJoOGdKsDehCgtuBVkF292idEEhS3rHoyO+Fk0uxSqa6IOdcLx+E6863FrjqgpO5tli6
XjtcSHewFhFtENjiXv0SK0+tsta2d+aM4SDOxrwAdO7ZKxKLC/DQI+XAqkZMRzc0L7d+Vo3zKZdV
7mcC+yZyjOskLOVWx0GxAhYrvyepovUzoLHcF2yHu/WYe+1F1djhLfpYd6vVU7pxNAxWUN8mH/uG
S3yraKojE/a4w7c47nvNCPAgEVk71grwuWm3y6odk50g7vaui7vpHzrJukd05kStFir4Kq/tZIND
SYQlY3a7mRZGmXcl0Yi2rwlUYx8UySXdgugrlhiGLfNcMdA4ovPBTy21vOOfddp2w+7zEuldNYlZ
iI4TaTbsaiGXzB/wtxO3qswtdDSSaIyGNOq0mJu6vcUqaGs0hBO9K48h08wXVz05peVrAxDDHQLn
hgg5hP1vr2qHk/BE7wQHtK/yByJIZibZmBQ5n3+7k/PE1+sAS4GmQ7k5yy7eXqcTpdvWQRQebLrk
TOq6YtEoBvnDGUJmrL9/sfnMmdsJ+QL1wNuLGUwiWkQVevAzetZlKez9q0BBi9tg/fml3lfSdAUw
ZLIZ0PFVnZ7kV1HgSWJL4DW7o3FRtNT+DuZJ+oBNeaw9+m5/+3pYDEyDYaK7AApPTtUhyjBvZLlz
mAYR3v+5Bhak05GzUsxnKmhXub2fX/P9GOEUzuFr6gjyTEc/uWZZ2KRmZal7aNt4ps5qFuLg/ivM
1odXwRIVwHVyTHYmbx9aFpp9Eca1e4gamoljXMTb/8PeeTTJjZzd+r/cPSZgEm5xN0CZrmpvSHZz
g2g6mIQ3iQR+/X3QHEkzpDT85tvdCG0UipDIYlcDma855zl+8EsL4r/7FKwtAWg+xhk/7da90bE7
1+BneVNeeDnrG1BS/4vfErGnDoZDuh3azR++MdmxmiUKwj3bSZ8TBANxBSnvzEIcSYd1M7Zarb9o
6X4+PjjTeZn5sQCH8LF//vrqXCXLXHribDSJ92xNZI+tpqIUmTC67+tgId3XG1YOr79+OH5+sfGX
IZmBQQi/56cHEmxZbq4tySBy4uVKkHZfjh6CmbXwgl8AE/7Nj8jDgbSJGhxf5Y9nlY9yno+q7LPu
sypGeN1crgPryVJs0+etg9PbU/P3fz6s5QHCNvffoA8VuddOhg/pXHrIWOoKyUJpBtmRRueXL9rb
FO3PfXnIdAJDrnjzV/30pm07T5PXmVXpEAZRYVUusBLfLB8ILu8RvaLdYdZMmaxn6joWb8twozql
kwP7K0Fz0bAtTO3hC6Zth6pzrVm+B9Jrf0XZ+vncAzLg4HXnNEf196Mhv87dOV/wNJ3tiplpnCd5
+1Jog+sKQBqPWhFS1v/1b+JH4xd3yEZIo65kFInO7cc5YFoyL0m4Ys5GYFDr6sChf4AkPn4Jeosb
K2uT7Xknmf2mm8ruRSlSf3ZOHuqHbrC7kqiBae0OVEn5cVywbfzts5lpNMpJdGoOp+TbHPMPN7jZ
DdmqAt76ag0ouk23+GilbMqBZNZ5xPLrV2Ocn949RIXb28Aoh0cUgOWf3/kuH7ainwgWJRJSQ8yC
lcjS1Tymeltv/PXX/+8+jLkRPiPAiz+z3JFShHCdSHDSsHvuippcJHMI6HJcs6VL+usP++mY5ifD
JIuHDqcyx9kPZUklDasdEnMhgMulsUxzvB8RLyJd4l9/0I9wR6SwHJfb3Y2ekRv1x8KEiLFce60/
c4H32XBn0sNNsREMI/gXKBrDZVsoJiEiFehM5oytW9kSTsYsebsGm04/ZKioy8iYaZZY9q3ty+qz
PzYNj1EWUy/nYAJJpT3vJM3xWy7gWDdhU/3dg/gNIciajHsN8eePlUhO4FHrV8Nwtlf2xzNbisuK
lfkxNYm5/usv7aeXn4/iGRCsAhjp/bQRGVPTHpXO+nOPnPgU2AU/P+StcA+fs7ncwup+NT/cbq8/
HIzM/PGbko7Lf1oIkH/8LdVr5Vhd74qzB8nuK/5Tde5FEr5/G4h4PskCRFOX7rtGa/sXF4D94yMi
NpEmYk2HT952kK7z59dMlAgM0LkUZ8tikrTuzAKD3XBcCDVw7Bj4R/DJs6QUO9Ww7L0JU6QQpDel
+YU9LigpMJotD+ZUMUVc5Tav6UCZU9dPeB6j1ec56itvKI4Tf/+dTzh5zd9EVOdFiB6INbEk2PHe
LQZ2/NvjRWgu1cMy9mSBqZ4Ex8j2BnhTs2Y0NiQsby8lgyP0E51KN487K+BrMi9kvzMtWd3PTBtu
eqyiR01Q5B0AWmM9khbEcleN9QoCrLNNonUKk5Ac352ITsXWeTVK4VtIzeB47RowDjTQa37GGGXF
QpUuQZ6TlXVkg0wd8QHMvk01N6/OWmyqajJHGR5NrVVaX+aeiMSrwih4X0LdbsPQJZXZnVo0/903
OrRkHkFeYAnwQWQXwDFpSupu5X9dO//34lPJhMlLWG51TdfyrmV16S7fmJbncyytdJO2Lr0O5SkN
DP3QEsWW3aESKonrSTs13g+Ib6odch7e7saqWvnQrMhJdv00Wt2BFaR+kCZS49TzGvmACGD4ghWQ
n2JG7bF+dbx6Etd9Z22jqJnUmUibOX+QH919dWf+uY8twmZ2g3YhrhTfpmKiMTGbyyUhtQevXfh4
5iBMrsY1YxAeVIvn7BEP8jdOyNBQZM3YQTtdTMajJqRyjTu5cmuFJmv7jnxPZ8DBNCt3fLByIq52
ksclu6NdJA/OWvy5jZHviZNS/UAM3TRiClrbuiXyyd4AZWvKE1TXihbX9ufcvxIqseZTRpQv5mRt
IWdp+pKZVgCoez1qYBB2xLacKSMbZ90/WbXbl0cya3nAwGoQl2PkPXfDWx3AzJ6nb009Rg2Zxxbu
bHm+s1wSM6KJ3yCcS38LxzW5C1aFrPRtBOeWE/8YJ9PWkyhs9zVPsizZD9OALvv7a+VtkjmiEJ3T
7DtF8FpDUyQaDO/Qk6WtjC0ot2IHFwJhQ9x7Lk9RF3ib2Kx0+V7tYZuZYwSePiFOntVBI0y8+76a
IXfgNXGdrZBIBbUdnhhUnlaxTWJ7xvNRC1HxQhMEusZv15/vTQwZM2ZX/pVLOOkaSTPXxYHsOBM/
Y5jymlatwaahXARfLG5Ogb8utNP8fqg7/iGWyezk0Jb2QBSR1emPk/YdQzHocaV8CBrQqdeuLq0n
ryhqERPqmy9fA4NNxh69uC3uF6tlCpwt1MZECVizX3EfswbIGuIsGYPvQsE2B1mmGB3/A4W5JNvb
7ceGJW6Zq9bAgpggFIg5wt3iXPYD0/qldNhcM0FbAyYCqM3OFT4lRm1MyDEZutE6qWL+fuP/d0/6
yz0pV/Yfrt+fcA3XOXIcroI/70nf/tA/9qThb6hBQlY5f6Y1hO5vPtyb74vOf65Hzd9Q0IBhANPM
IMbZPvz39ajj/cZgxsYPA7IUVi0eiL+xHsVN9OdLm8saEihtE102kxg0Qn++N3tSBLqpS9nFuCZG
cURhnhrxqyWEj7eeUC9mWvmsTtzmIQcpf7OCcIm6gBVEXIdTsbf8nORqAlKXfW9reZsFY4E1w2A2
HPr9UYe5c0biaEXoottu5wZ0BFGThAKDIisvBORudqnKubky09Ai9tEurxAqyTu/cYJjZYbZMfET
/KCyFAQHVwaxT5P0jmue9SdJ2Xg9DUuyW3G7GMyxuXGJAgnsS18380dZeYvcaQb1sZNNaPsMe7xQ
dZM8wHxDGJVv/Ilpi/ddm1dflsRiSCdxol4H457/A4tA5emDTLR3Oyc64Bb0Qmx0WdKYp00ZdiEJ
Jvs8N333zd9cd5gtgxO6/P5rqu2ki7PNlZdn7YQs2OkfxCDmcyF9k2tPFksVO4X9tTAbMyZpfI1a
VHaoIllI3aRmnV6S5Wd8rt9cgCj+OLjXrj4tefesQt09FPO2pMkC9S5rx/ExDEddRaWx9p+27ddz
b0gs5JMrlojM82LC5x3SeAU1rTEFTmSbeQ8JM5Q+hlqrf+242afYFvMHAEU2X3JdfipJvb8I13wk
fzPPP6/mVF7lZn9rrKl7lv3YnnsCoS7bpASc5PoksepgsHe9ly9Ia5fJ7vl9pvKZwN8uY83YTfxt
ALYO9uCUl4tFRHXfVB4/qA4L0FLJdGXlrkHuupkdkceVT8y1sg9yzEEszHVLOsmim2YPMJrwXTpb
ciKp6Ek3yHn2SC4X0/UkCB2B6Gw6mCEs9tLZug2J08XEUDrU2a5cHfTX7ALnb3lhT33c6q31A/wA
RrHI6rucLV4kusW/Svtm3bkrYZd2H1TXLWaEKxve6BJLQAEGGaWLv0Ru06bv8TbYHtrmVHzq9CyI
YWFBcvRLgi4xSlQbvoublm15umuC2rphhxHepwmog5lsmTYjPA/0x87rXeLdsC3XviNP5rbCngvD
yHZqmJajqDN9SV4XOYFFONawPork2ai81DgnZIQVe/AX1pduNocpysx5elDgAZK9WqT1MoZlUsdp
3U331lR3H3uKsphYd+tV9k6v0IqOy8PATiS4EI4EwtoHIWBiexmisHK0iDAZI9KZEst5D30iu+zY
jH+avA4ipsUFlsbE9EKwT+vgY+Gb/jVokcU8UdyFT6uSjREvhZ8gl8xKVZJKODSHIKurV0qQ8F2f
o3w153bntb2DyN9bvrptv+BZs6ym3idBUj8X6TRYJAYWI1nqZd2/YLXt0bH6RUvqVDPuKkPhKB/J
B7jKbD3u2rG/Z+QQCtJteJ8R+UM8DnqxD6iP0bz6SErVho0Xbb4TGdSKFfr2mXhx/+yaA9tnJysC
vgeBF3eaONF6kpPI4IN9rSBlPNjIh49NbgJvMcIxESgQe/PFBjK4XwWHqcKxsMRhXeXFEYl+eUoX
p7uRIqEOh/Y0PvRBLvhi/ar4gCa9IyvYGh2CQtZkOiWproM4MOb2o/IXtg2ChvcCcW6K7Ntchlsx
9MbnxvWR1BPHq+6WbjE4XFZ0vo1RhAjthVDwzslWRyo8f+3KbH5ZRG1dO0OOwh1ZZrBEBPGS8hom
TnebLWEid4Hdkv+azWBy8XHYsWW2j6kc2h102/kSrgLMPRZfO6/2z4L0dATtNRzwbCh3KoUfUICM
oVYX3VGb1VNau9Nx6GcaHWYkCtkEuy32p0sdh6Py9gyt1y8ru81qryyvAxM54SdqMoVywQyKW20i
758uyTXxgCqDj27zD6uRAplcfFFL8zlYpAfWJOsdaxyfJ+Kgi9tEJ8TLgpm5tQp2y6tV9g9eVZoP
nuWndxyLmqm1XE8qnd+7oq4fOuYcD5M1JHZk5kXyfma/9OxQo08Rsc/zOaP3eR/gQOCQgvv2QJh1
fWdiErlDvdMdhrRy4zGXgrayGuJGrfa+cHsSlC1uu1hXS34z2eF06ALSA3fOUGH4Dk3+uZ4ECzvg
bY8GOsbNV0+YCWhhD2M6//xVjzbckTph5b2OyaMIeu9EcOlMBqVBfZ6pJPvqrMZyi9FkInPe6Bqa
wiW5gQLUPq4846eUH/xzm3fIr8mQPaKGmg466daPEkIiMvLOIMXQKpdDIYApaGskQGsEeC9Hl/No
yq31EoAboaMQg/BPFHcI9Fg3d7ZzmzTlIDhkZfIwr8mp8Qr7GpdZStz4KjYJ+tTcpSgKjtv3+USq
p3UVFit5dcLwj0XXG7dSKuXsbXt278kYzr4kI8KLXBtIOPtOI8JyzXE5L6u/3Nuyn4/hEoYnZU3D
+z5pqjtlueqC98lbIkYppEq3fljxK0pZPpN5Zu7Gos5wDDhhdz87ZkW4aeEQNg/1bZ+5uXlRdKW4
JXcouV79UJ8GLkZaCNBndRh8Nps8/GwNjk266uB2z/lUZh/NOZGnATjFkUmXEbDp5ajh8cuQLorS
ceMtWw6KUiHvgPTPH1vfn3cSpu+L3eTksy8Et4/ZdmiygbLz40oa0Lrve9tuHuslfEZvws5fkVHc
stvtJis268DOYpbX4UtuJPKRsc/Q3Xn9kA8Xjo9aJiKsWboIW6zOvLK9MeceC63a7CLQInkbc/Hz
zTeMnB77Lt1pCOrLwck8/9CGnh9nCBSSuEjn+9Wym+Jy7MmivZhGI3t2W8fNX22PVzxGWmK6+35e
CcrdLAbd6l1bltaK5OAUX9d05pG1e0k4Wo0A67VL1hfKXv1BSqP+XChtvw/HyX+CgEQ8epc/dbW/
7Cunq05+N5BwMKHD9xv94JXrCwfgN5Fnr8XovfjTPH1ix0oFIXqA+IM7vfhAxC88PyjvOqvck69q
XPHLoQnGwn2qGUV8c1ZX1dHYdlJGOBTItc2nHAF0s4z3jjvLJZ4mkYH26cM0fQq8CXoEcPX7bKXe
IWRwdivj+/Dvv93TL7onR1Ax/lX39G58zf7YOf3+B37vnCyT1onGBGn3tnR0NvX676g7yxK/mXRJ
QOtM6HVY9/+lMLV/M5l7buvef/VOPr3TFrOEGGZTKtt/S1r65jb/w7wTQipScxNDAeN9nuQfBZpN
13AkLsFyHdarsco4mNtlOVTeHL7HAuGcpNZMIVSatpeDK1j3LGi/32YZb/P/Hp/jJfRpZjHbVq7K
LcbUy+Le0TMMdAhNqfOEhHtgmpNaLyrSGZL5wQA/VHfxFCoKm3dZokPc2xMGHvTes+IdMcvEAMom
SPVtMEyQ08Z8uAm+cTYu+XQxszXQ6pT6k8Vlnfhoo84MdDv12Cq+5Eejbnx734rMFvu0AKJyyXcp
HAxSiY5NPjaDrmQy7a/sFDuVWBfKmEowDZvL/IaxGFs3314dynUvIYfYzp7WsXEu+KEaSu/J+MR8
Pn8KCoGwq62y4h7uy82o++60unl6yJpkeg0tE5zZUOHzyiUFh4f8Ng4b7Ew+08jVx79YcMa7WHrQ
TWp7P8+m6i5tlEHw1zeWyg1GR2Wc9NzMy44TKF0eURVOq7kzmb+lhwT9ku0f7RyBzFHhlB4RtiIu
svIyqiRR99s5RId03YIqqvktVMBpKvXdtvDfE+FXJwLpY7yW/1l3/vS1rr8Ow9evfzoWvv+pfwxU
0Im7mBygQLCN/eeRgOicHQB6bxugBwrn4F98FEYnHrgStnC2ydIKica/TgbxG9vKNyM9O6a/O1UR
/rZt+MPRwK4vZN0coqZG3s4i9Iepio9VG3YX/koDQp7VHhUjiEJt8Qsz6sMK1Tz0Jt+e0UAu2KCR
0+6sQTtHH/nXRVchJkvcZKj2NqTPmwG+3pPGnbb3crPepak3uPHcO/sq9fRzpXXX7RZwEq9hWkPR
a82S48GdYzTLYs/s5MtUt+NJOUN6dPOazHQ8xbDgSUGjlZyOizLNCJGKaHDY6eHgYmOMS555MJBL
8yxA0r7WvIynScPvhJ8IvMn3d+aoMI0WeXpr9UlwUS95+WRnDpWXGgQDTFbSzXNmTd2RNmk9D4pI
tl1qe96nBLceeMWqLfHV92l63fTL+E4yw70iLtx8QA5o7+rSv1eTFV7z6nfY6NP0Y5kNJIo6Ul2s
FAsw8vBzJ4XZHxF/1xdzjiOVBu2+aRv/hFS6PkCpIct8UtZtDW80rSGsNVreGYCrIj+xQX0uc7Av
aUWjSXbuY2869X7uhBnDihLUqno4MVQ3YKisFqKozDiXA5QyaXdrnBnFuhsY3lx3HvKsPWJ0BrV0
B09W3gp86S7zAwgNR9FaKBc7SkNzHdb7VtnDNSL5JJKT/eTpSn9e5OTth7lgJObL4X5la0LwiFce
vKmhtWz18iDywv80cQS39fKRQnY4Wq1TXEwqtY/EGCbvVZA3h6JIvC8BfOXlelrs4jp1KwnGC1N2
zAYeZXZVqh34xgCra98fOs/OsTZY9h4pDmTHYCyjHnrDp6Cv528pWtzDagJmiLukwrOMyPFeLPNQ
Xi1F+w5kZ/Eu0OQ/GR4b4qhmgHhtNFLBJGDd0wDryaI8zIC6pYTvsRPAULzK4JyYXn3rEHpxXc7W
OxYZ7QilTHQXtAuS26CDdFU76taGsnYpEJ1rBmOi6OMcxLR/MRkEoR76QW4Ov0lIGa+Tns+E7x6K
GrpgtOreOWSiDbj4GGyy9LSri2UKCrqSkPrRFhNLM2gGbHbmVdm7omMyM1h0Bxo/3p1hsNRzCSHI
GJNc95792pSdn1x1TqmzS7ZjHzx62IeqcY+JEVjGacgnkdjHcnQY7UWKxIrw84p2N98z31lv2ZwM
d8OEYvczVLgEP3xNWxmM0zuXydMdTeYGcC2l/ySSgRFOj5eaBjc8A+ewqwh1I050JJrtQ6vfsLD5
hohtxUaLtb+jY93vIFk8ro1/rkGqwZmt3qCzHJR879XGok28ooZLix/ZfFnfcLXmRq5lzgXElkxn
G6LtwI7mvtYb6BZg34CIfyVVDENwRs8m9uaGxn2D5IK0AJgb9sKSsVYlmmhzJMvEB0pgXAREggP/
aEraOCzBcAG+2wgSLltxPacVBdKCuUZSv/GkmIuVnkDzs3yru1nfEU8oSLxzRnm0E42twF86n3Wr
kYcEoFiYyva1K/nItUx7LyIBAJBDirkgxsSNuoI5Un78vh4aZcIqyg63jQnWygJLeh7WzS2itY16
tnxnoEkoCuaOUD8DDIX2072Z1d6t3ka/7jYERtSqGP64wHpjjxCNJ3D4NqMQY4DYx1TTjNcqnDHJ
MI2uQ0EoeQ7dXGg32blvY2t7cnw2x3Z2rOEMHpttvl0z6F7fRt49pKErvc3Bk7b1D808MhzHe+Dz
Ur0Nzadtfj4C8zgHjNTdbbbOu8qY3Uq9fE9yGek+5jaHZ/FLQBpBUVbszK6xjeHrG+hwzUOgfO9m
9Dr1AsWU0b7thJfLhvIoux7cqBbpEZv0ijFinUoopMO6fEYC/Yk7qr+h/vUOs59AVlG5CYrV7MzH
dLWSg2bN/s4V6XAv4FFwOdTlqUz94bYZA+NQGot5VrWZfGY26t4hO94NvpeeODqTC/YB5rP0rXw3
wC99UWzWQOgkdsv0t9OX/uqv18K1gyjttNy181J8ZNRrnd2OqAmR6gNAUBHp0VyLeAQ62UaFcgTh
mcl654VFscfleBzKun2H+WE8LZ6ajtu67OiqChBAYc3kVQ+GiueyyW5R3brFrtd2cAlzsN0jqcIx
3YMfnPn8Rx0KF/c8wAiIjtlduxB2rdZM7kURpkePH+BAmqEqI2sWGUfjKp4dp+u5C13iY1Vgj9fo
862vaiLH0UXpv5dWYl14Q+d8MDSfB1En3VH3p4cib1vSrcbyRppz937iPbye+rG/I4MpvAp8q47X
rC6uZKYhJTiZupGNi1vKLr2LclUfu0DkV4vICL9oJvMmSWCdTMXgUQlUK/v/gG0DMmbzZsCbNMY5
b/6dW/j6SNpP/xr4ddwNntw5eh3vcSCxUxAVsOwqHMJ7CVXs0ipk82keqP5bXZl7ubALycz0QwKh
ILbqyqR48JnxYY7f50xtgsi0jGddJ+Ze9Gl77ea5eekYw1Zp92m305CSdsLKRLFNn94Z9kRc+zSk
A+oLxJjhFlk1KO2FMc5+hrJhALO+Tm18rVWwDXFNCe+Zv82cg9Uhw2fq1bhrktx9tXVATSEydis+
mQbcbmB1K94qb8n8R6cvCO4uaWXAJj4N3tLm929F63/r+1/U90ifA8ye/7m+v25qYm9e/1jd//5n
/tn009kjKkO3uonEUUv9s8JnL/ob3T59vLd5vgFf/avpZ1KA6R5Zn0fFIryt7v6HrVT8husfWD77
VHTFKOn/zt5UbJjFP1b46EyZRmz5ag43Y/ATiq5dGwmbfOHkaBm2xaVRbdVfZrux21F/XfiY4OoD
3qgM1kzutNepjcm85En7MiTB2kSgGuw2xtXW6VO2dlUN6Nn3Pq+9zSygzgPBe9cuV00n+/JDvoru
qhlW80vhpDqMrEmSWL7NOZZt7aGcY26AS/HH0bdPQxcqiOtO3s/XfevV+wwtC4sSu1xw43jyetO8
xNaUjJG7GFfmxIMf4RxMY6uoV3vXLf1HDiqMSmDhT0Jpc2F3A9OF0cHkgi0mliQMkswGaV27WSy8
LL8mF2g+TeXkXxhEE55UUxVt1Oe1vledcbQLkL2NHX6Ya7qcDFA3nrm02f5Vy1p80C4DQGfiHJiw
lGWhhYajWK3esnYzB+W4m5qSYjxC0+cyVK9tqjiCrIZ4ZSC6WhG/eb5lc51Yttq5ewYnQ8nVzoV3
ucHTP/ONLJcS7EkC1tsjSAcD2GCIS79PtdwTMRNhtPN0e+yDFva5re35uilEmYuSBJCFTTzNxBpU
CsgIJ+voXBCHmqErjAcJ7cm/pATF7rLGFvsqoMxzJqeCoT4hLThuTlYlrVBd4nMAsYVCgyVy8CZ5
8v1210JneVGObT0MA27SktQd/YU9Xlt8Cwtr+EaMij07NzZlXYWHq0qsAyPeTZuGKsp/bmd8QlFX
hepqTqU8o3hCbOb3Eh7vUk7FKRdUnfu+lPeMgfq9mbMvSjI53xKpqlh35CCCSi2b3dJKMpUYFp0D
Tvh9mprkF+S5PEruR3oa/TB6k8h3iVHauzzsM4robkzPQUC9FguHbzu2gQJfmHhzRqJcFvdEbdYf
mKgOr43dlp/tsbOcQygHDz5Vt2bRGMAlj9Kx6Kl1htA6D844R8JJy3PB1sy6oFb+mBVo3uK1Ee7d
FpjqsnZtU7L+hHkJ9Ko6gJYzjtz99c7n465LD8CutVr6vm5Gi8wZyR4JgK4PWSyYAafYpry0rbQD
jGIPir2WV5/UbLJ4BSzECmQsxRXyu/XM3sWMCJpmgjQxi+6d4hCYFVy8Mr3xMmQIu0l4Vxgy8L9q
mXxkCxASHrkq9siUIrKT9Xmy/PYdssAbt/bd++3Jvk0Y7+3QAECQ66zrFdRwxJh+jAOndTGJtWzN
hdOa3xqicG8bV6bPaZtjqOoEHjwF42IovTZaci+FDK3kEUMGjXC3gcHAWx1brw8fU2GQZ8V85CqQ
/vuV+InaKbqY+ty7onNyr9gIsWcvhvkDBdWcRYXU85XOHfulchetowm3bkqOuuk8eHRMewsn3jcD
0F4Vj3wbB7kW4wlc2WfGLWHc5wmcKmNaujCSyhOPrTPTdNq+aj6LYEmf3EKkZgSoyv00VhBb6nAY
+Dta44RnE8sgvvOom1QJI8hrzlIzgggg7OxxgeqDU6fBhXZJBwXJr4JoAux4GN0UeL0/jfmlFWbT
00hRHZd8P0+D7u55rCl67eUqnNGFuDIJLww/ayEHOZ1/Dnp6CfajZfBFe3V2F5ZBDr20qb9QRYe7
0mTZEbUIqrz90ggTgLp1on16IAQhOC1sK3eSp/vRMoAvUvIt9kU4OUk8j+u7wESZsGg39SFndzCv
EMRHFGLOx6ZMgdtlkwEp2hIFRCvPfQFHEiIwbNeHBqlMLPx+/iAzYshcp2iu7bJF26B8/ZkiUe2V
7YzfUknYpXS7dd8wEEEeajvPNtrb29VCgKJ0sN4ttdscLDjyd3bft5dMnWgNLAhzMcQ62R2aZkj3
Q9OZr4gG+53QNAjALEEYLnPmYGmejEhYY/pNr6l5Uavaf8Fqvhq7lUdrv3LkxBngDi8K0mze1Q0n
fzAjdPAD5V0zG0lj3kjnIFLLfpd2YXsZgLs/N2Hfsq6B4z12JqvfJcyWr/nSj4+EsnYFlJIk2w3m
wlQIW3wVJxoTs2Up+7T2yzLFyCm/VhWBFJZuQvbWdnNNMnYRGxTaV7iy5/vSN/ZkQYXXHZ7FPGLe
nSUnhynQdWZa3c5CIfGxHJT9VJDMd+23wfJozszdIsPLwgcRasRBwahPjU5ygUhJUORnuXnbq1Z+
qGBefkiDur+r4Zy/b2WSX04ak2hG2fnO6sWyJ1+8OC69WvbJMnYRcw4MtoKftolZ5JrjqaZAb+kx
p3egKohfycVQ74zcxQXqioZleGbedYOfOnsfRcO5ng00T5Wcl0sXtZAEkrTNahrh8D2O87PQvhu5
CvcmkQQqiwt2bmcrt7zPNn+/ETdJnd/h1JpjrzDDD8vqDhemWLnogxopT0SNnR+8XHpXPk3HU+Kr
Po0Mt/dklCZIE3YBWRlT1/SHoSWv938hJvyfEcD/Byjx/58g4SyLqGb/c3F8K8vXrKn+XB1//0O/
V8eh+I2KlMqFhpcdFLLCf1XHpkMNjAPL9W0TZd+2taqbfsz+7/9xtvUXvfo/8qL+oSh0EBtu9lLO
cfK/WYz9ncqYrvPPlTHrOrbOzL8ZcNp4xH+cffdKBrX2rO4sRkPvHFGCR1Uj8cNjcO9mAKBO5E4Q
5oH7fHX3skeg+y4b3eILgXw2ZY02gMzWcVWFeXI0oFj2T9wr5WWQhnlxB/GP6hSL/Yu7goLNrLS8
HOfC3kFIBtNBPVPBYUjkwQNytBtVUV8VbWc0LzWM1msFSgG972IdYUoooJCZ3R4IP+jDF5UzD7mg
HgckMXaL96xmPQV3RMP4mOTz7Kqwm1HsnbdlODDZIH9V2458eluXN30jU2YASBOvRtRrY3owyspE
DoztE3BFRXyFM9+UGU2Lfwi6cm1vGjSlA1lv5LvEpN2g4SXJ03N6va84m43qXEOqpTziYMTURw1C
8XcT2OzGZ2Ky+T67KF8YwwFIADw17yYFxSK2EKWbn+eZOPJ1LzM8YHBbKB5hBNRFk0h4Ez2Kkcib
aqYbaAsMkCBjKOiOCV3syBJ0i5aoJOmptG5jOnY78yUk44kslC9rsiyDK+OxSoEDKMJbRQTjXKVH
m6iK/savRuNkzpySTIYSFgqGE80kTkXFkNUMfgx1TN3WfpSGB0XSGUzAGFY935OB5R68sF1eKXzl
nqK2JLB7yXY5i/+DCip5xZ3tHJtBVKemYW0ha9VBi6obL0JQNp0CRaTFlJG7XdXNzvGy9Na1QxiI
WUk+lUglJ7HrRABrG+IVw+S+r+bqQ1IbI1o9yBHRaqj2tiy8d7Kp0ntQh8PdnCn/njtYvWRVoHdM
65Jz32b6ftv8HhbV5O/LQcN7tJuFa7s1cJpMk4IRTO7HbOX+DeliyXuoqM6FzjyDnJcEtQjCrfCg
/N65SrykPGK4z9edRc2+vGfZ4rKbKL13nWfVj3QEEulskhFn7oL/1jHlu69jsqjXU92zTYnCkT0R
6rTxNOu1P86lTN87BOdchqRatZHVuvOTCC3Ig0HbJ8Vuop/8xpjKKyPHX1E6pk0NmNduQJCwMb/D
78L6ZHafio6peDEJh2pUExeztGkaFfkKMDTpJ3U7pal9iQCkuSCLbmI+ufC7nsqhv89Kr37fDxp2
QuK3nwj5+YAxSMVjGQRnftPVfmlJEVmGFsEtiMr7xBuy8/9j70y25DbSpPsqdf49dOCYsfg3CMSY
kcnMyJkbHIoD5tExP31fDxa7KXaVurTXRqUilWQMgMP9M7NrlUVaIRbm+jaYa1nufITdz1nd6TdU
UblZ0Lame5qK2d9ZWfN19NvoIGzKtdh6Y+qP3OzRz73hTXey4nXJ1/TVnPpUHce9/LXVKp+jJHeY
o/V0uzN33vru1O9SgLJTzckFTHKxZ4uPlcqv7NM0S38KKly60D4qX8NJBhdjtVdEGkYD6X1FsoVW
s2bugLDkzJUFk+cEe3MRpL0mQ0sDaVFPA6auiO01n0vPhpBe5FjTN40tp1Ot+1XINtJ4sYhKfOi1
7pl6tces0dwvs814IdD9Uc8De0L/3BjNmj25ACxp41mis95jMaV1LQrdND76lnRvlwkNva4H+biy
pw6BGtefnYFxbTOt9b0Z+evvOA7g/gmtmPF0Tg3Hp9h6hudhb5y2wHk2lQiR6+rHt4TKhvfe1tjd
FTFsPKZ6ay4EoYq5Ow1wNj5JQnlfi4kEhxzbszFE09Z2pjlMxoENaRKlB1NzGd/O07Scr/FtK3ew
lfa9oXHHWYl+x8iXiqmaTk14HV79kGcSv2vTC39bDLO4G2VKZKeIUpSBBOvZfDCSfr7Uk0X+I48n
83HsyXURpCLbBv2OrNIVJkDjHIqZBnQaGLz9aVD4GR++t4MhSrDOsRsH2ySqqGEcmhDNmiz91oVr
90TMSt65MZQ+WqFwYgrThssr0+RYlx7SZrMI70z6sL7DfUVj9WTXQFxneui96iImZznCeaGwPZHx
Js4iebTzxt/3rTWftd5IN77XeJ+turO/1Zr1BUO8cRbuKNl4t+WimvG2bcd5PC3Zs3KA8m6RO/Mz
+0onC7L1c6ITKWp1GtCseX6u9e4RG5YOt4Yu2CpSaTIySbtUCHuvo9w8tKKrt5qDLLsByycPsZbc
FfkY76whjUIIHeI1bW1rD4NX33G/f87Wyru0BpTdBNbEU+wyVhdJ1wBnzUtcapFd3Nrgqzc2bEWG
fNBssdAzj3VKp99bTBgeuHLLELTmdJ8udfeFBiVNB8gsCrY9lvcS0z104hUuocFhblPbDf07RW6X
92Wk2bvCgA0pqt7Y6FKfw0Xq6VnrOEzB9633/TAPoTXM/TsHG5zcHoxYSGMfeyl+z9oGKZDH43mc
yhhcNrVA95YHqbaSNSGAMjFo1J3lN2GO+XYQy/CYcQLbjtakRDH6xy0PEoTZadFjChbrztHdfj/5
qM+L5NQ+xpkpthkQ2jiwjNLbaF2iHafhBu9yAthh+r3TreIj5u9hF09e/qVkVr9dVrb5LHsfE6/4
2uWpPGIrdTe6m+dha/Nvke36wcLE8jCmvX7Us4KIYiqMndGn4swBOfvsZx720gJQbm9XnMxkVDxk
fWGeDJmlu6bP2uPAhmQ7tIV/QMZXNnx2XszN7X1uJONNSqKO+2gmf9ELTQt1+nM3M4WvW9OV1eee
mPiG1w4FKRabYUmcwzSa7Sa1b1eLUFdloSLrjW/samF/bvXmYSBGEMCxzjZM2vYs0RpTQe1NpIQN
EkDvxOdWdhgF5+dcr+/cpntwCVbjW8TvWDK45EwTIrJdqPPIT1m9xnRMcjhvfZRjOPEGLvHkJNH3
MOoUt2apaRcfKue+cAb/YAGxDFcT7n1e3VMmm+xwVGD4rDXOUcXy4OMbwB2Qw1fvG3j/xOmg4dZe
YKNZ76vRpOZKc80P0IGMgLXdfSKIlh5WiDkAc8XXFnLa1ib5F6QlhnIjpcxtxC7B88AcHiZD+J/T
cmlJQXL51VI7OPNYPTgakwmycgmaj3Jt+s1wnJGwD1kVoyumq3cq++WhSO2P5DOe/xYa/pMeXdLG
5p8aie6+jp++/PEk9f1HfugMykGIpdDkAQMiQRUj/be5UEX1/3l0snAT6nB/OIFYtrIVom78OD7Z
/BZd2Tp+QMCuCmX5FwJZ4GD/eHzS8aCrv4YzItwAuH4q1/0ToCDpLa6mrjFv3Ui6L8tk2UychIYV
ei30cEloo6CMvj5hP6JUsBbtuNXXWG5JDBf7wZDt2Y70wXgDM5jf1QRQSGrMTEfZQbSzHQ4MKshv
WONbn0P37uNlDZJmMeYNjsIRUmCf9eHsJBW9BdMiLoMpOTuN0fhh7Xz8JzQrqBnqShdd0EbdtEtL
Kz+wMcEBSL/ZELhkAvYOmeE6aJJszjdxTPgyRA2c761lcZ1dMntTfPAtsQ4hxDhKO9gdsUouef6F
trT2Qxqj0WKlKecPUcSsKgCDxnsvm3LJFQIwd4/10lmMp8XA0F6ibOi46jlXnECqLPdtYrfqSVwh
6ZblMmMo4QUSeo9WqkaopyvNB8Nr6gffyuLLmuXjh7aYiI66RR9iT2RAElEDuM+mzj2UfoHfkrKR
NcaZ3s/KsJEztbE6GFC3Zm48g6rt3bUJp+82wkjY6bAvIyNG9Pds8KA7t4O/QuVaVnaVvsmVP5G9
t/IqMkbTjpYUNbUcTdwmziZzLDqG823qFezTXiXeFxhoY070u0OPamjjSKNxvsvb0fKhwxVp5wdN
HXflrmF3Qd+viQ+BJ7SWZBGz5kWj37cWPNJtGs1RThizuv0Z9N+IH6vV8YwcdDmJiGKepIjC1pKj
unDc9bDOhKh32ky5YkCUbirGU98PQ8PObSmz3uzwaMpxWqlvmYxJircYUchY3+e0WKruSz+1fVkG
Nsy/Inr4e8H7zxY8Vp8/Gx7dfZ3+cfraya/LH8RVNS3iFz7J/v//P55tv/EgdSgNstTw6Gf7pGv/
Rj4KbgsJU53cKYvrjyVQIKCyNimKtQEFTdmwfyyBHnV1qkCK37k6K//SEmj+mklF20XItyEHe+j3
lvB+QaZgRKpKk137wcfzYwLvM/vtEtddfgPr1b5B5MGuHNsy4gyVJsORKuf+gdP3WO7zTIAE7Lqx
KAMMIPBcowHy+9ABAm1mNuUxOH92CFKnoreCueczeV4JnNBxIhIzJNQZPc1GZb851fipIOkX80c9
jW1kP/Z5vT5IOrfJ+wHGrZqcIbFTRFSECpe8nJmttwPrdcWwxEPOc+Bt902vv/kAH+Fxaqlxqaop
P0kMClsOFBibG35wcphbW7Y73wHAl6HQhLhEq6FtS0Ca36TR1To3uAmUfCzX7giHEwnPmvPmkzmC
QF0nPN6rJWkwVh/UlbHUucnvfP8pbAHJT09i7DiKdKu3xxXv15usHI5rnlkb1xz4QUn5sxEaFbgD
dvJ+6b+O2drGm6rw9DdGOuut04w+HhMfHzqJLUryJBqvRonBKryJjVGmLTuZ9j6AUyJcQQKmzw7I
jKKjTNJcD1gt8NvRn6O9D4NpP2JfYmlwBlOcO0/6+n6yRfGy5IVLDVQ8iLeOqrc0yGedP60ok/mD
1xTatzWZ/M1sttEJ+0vyRWP6ctcQbd5fXx9HnO7Ild0tAS1m3dEo2DAHFYLcxnXIce30bqioLl9G
mipwxNFqom0JwfVb2MNDErh9apxjj/ghB/Y+z6czrsUkgSsq8hWzTq+MhTYY1725mjXlGTxPggrP
42m16uPYWTQv99k47Hoqlt8ajS3HTjSLp++5VFYiNSXXgtew4x2kZLKlDoRS2im5Qdt+RDgsXjr4
vo9J0y1vbZPIM0ZI/ykDWLRLTKNzQphlJmPBIb6JWoKxGXMUTo2LfaM1fNmek+Vkc3rKjMaaN5mt
NhvZ1ZDVHnKcFaAaoa46Pt3gKCekbKiX3nuW9GkyN8xvk2NCo4i6sqwhVMKuw67L1GPnZ3qf3OVF
zZ/lU+O2c2oqDQwk35FvOBi72qVOg4zgJSr95TZdp3xjwlIO116PbksH4DYpiMmjvMsXNE4l5guM
93zPSE2riRLRKR3OfVp6+1zo8rGvrTe7L4ZzaeuvPCoXijzGVkmUAzGLLQLobRlHnGCkcJxd6q3U
sLpYKZi0Vid0Cwtw7uB1VLcX9b10ViphNBP/2rJQ9Z5a4jTEFQ4Ko423petYmImdfktZ2HpKrFYV
MiO3YwqzzWeEetpOysWjWKdzuFE523H8QibHXZxyUZEF21X9CFmZ0TAGJOphyEFIbd82prwldkaA
0TPzm0qb7HsES4Ng14jjSHelPuA7KjD6eppvnQuIGEM4zbr7Nq5aehsJEX9euiz7WvVQnRe++rXx
87AihTLhXavp0Fky8CYbnZ/5tALjRn7NaEE4xHXZPnKQwgk4jSLZDslo0hiWV+vzbC86lVJtcjea
TQd6rqkBFdvL3mhdyn/MBQkwYOCra9sKWjXN1kVvhQZ0zy1EaltwK9uTYJY16eHoOMvNFLGJSsDN
vvq8fxN4BluGY1PWrgydNWZSFNEAry2Owm5wJu6DUrFAAr0dBlxsbg2rpmq6TVcQE6GgRV83c4GM
a3RldjPicFxgWauWpsxwmBY7jdxQljXvsZtVm2kp6WtgANili0HovnXvarrknvK8YPEfjGRVI0SC
I25V9KTgvLVj74ZFwkVDpmaexZxkG6uSdIYIRywrS5v30Td/LvNTwXA+hDUuiOaru6ih3e5xXlmj
uqn0QkcjtE++tyYO4y48Ybraqfb44zvVqER0po8n40I6kb8IYXoOK87qJjD1fL2ddEDTqIaaX93x
2F7uZJfXC/bTFZz1UK23HXilm7+3S//ZdskR6FP/Xmu7U9LYPzafurpIf/GjsdvhR39smezfLJs9
Dlx8ZC3cqv9zTvRwlhkCKpkuLPbmlonp7Ifi5vzGw0dAmPR00+DHfkqcmL/xn1KCgNPW/m5w+wvH
Rvd/dUFydjU4MXJeJPICn1AdK386NrrKMoESlR2gv6ixv58ngH1waU6hMXb0pPVjo9eBp7sJ/Ghj
oVuKRYwCHGflotsYk6OMFivX/ra267g9aEUtpi5oQMbrgZ6Y8kuZ2t55iRLr2GCsuavtgrZGC1sz
1jJg+AX3CFsxNWCdqCRiIS3YspT4Nc8w+jlESq95b/QVLs6Y0e0TTBXDVEHQjHjJKO7YdzDAqStY
TsFQcz7bGwUd5VuZa+pHrsilPEuXe6PtsbRy64D6Z60irSm9+RLPlItcQ3Qd0KojI2vmoWYzu4CQ
jCqvTzVjYO8Ew0x+kR6W8aIqAQgBUqYbj4p5GOIW/ivkCAhdueprCxrfYmZsGDGkOJTOJ/a+EPkV
lqmuteFgjon5vE4ejnUTmpg0deQ8p5Ti7ns1REOa5yW7ctrJuypXls+Am2zuKr9kXcon8J09jhnh
3YzwRASz2fGfWTPQTOIF9qcl5ucChJbuYIuJVzsV/G26GWNhiJCQNwM6F72H/jxfOksR7rzcBD6W
6bx3Op+ISAyTbt45VloCYHeTOzMHYeGBkAq6KZ1vsygdj2YNgIt+Bn7mO1HZueJ+S+DrTsh1zSf8
/QulSByNlZC//2IM6htGTp3v+UqlfKP/Cuve1KhSwhmcVhnqssjTB61kfka7GRoX11LCPz1ZQMmy
Ufjg7cGaZrZ/hVlNkO9tHEo0MOw5OJLsbvIy0V958kJkKsqVzQKHzW9JpIjz+lj5L0sxXTCt27ul
Shxrg1IQ4XWS2YPL2dhi4tlqG9I3xlNlcQHOCRj32i650DG8D9EORYs/aSUJBOw4oYeZV8JF1Ct5
ILm2Orj9yNVgdEqo9c2eCotrlQNMRIIMkL4ViDmWXHwajb1hNBrceiC9+i/4yVVwoKdXIplabkLi
5XzBNZB0Usp+DEELaalaTlXmwx3MfZ5Z25FLFMsLt+W5JpptHa5VrFqG7wdnjsnrTtcBHF1JFvNi
8gyEoT6VXDGRGACfzSqrQBQVVPOorpOFIcz7oL4iz+zNY2kPzbsnJH8YlpR077Od3wJRoARjHH0i
n6J57xroB9dLONVoMVhyikJRWwFlqos0cmjhmMyBj+SKSLxCJklNM1lJgG3tFFn6hTQSH2QPvMrc
NIXHBTO4FAkUhMK5AtQtwRYy3YOI4cNb6BLcM4Mwj5Qjte9XKGNrEwsNncERTxb0EmqPdYIZjaSY
LyCqQzaNvFcRODXIxNXw0n2R2NMY0KzA29FBqX0vxGiRybgfdJ0LTKOODavmyOcTEVl5Ghmu7xdA
cgyaDd0Emk5b0VQX/nklzAWv9AporhuBcbzQ4L1uBlcm5n12hfVpHbIsT/jVD3U4kwcAZjr8SKpZ
CC5ohIoSpnV0cPJ+zbmLp91Kx21CpCDjDmNrwwvCpz5fSgPj3WWRM+bgjARwSmRob2K+u1yr/7wq
p0ehpJsqDSyntI7AEmCM99QV6HoknnrqQvkES2smGASYPzCSvH3P9ag9IPfGe3gtlGuYXPP0YoHB
8JKsWx8lZErrMKOVHc2VNzznqjlV8zHqh4WhiadIX9fmFNcuVRZmVdLSQQyXSludYsbBMlSieQKd
WaSKZprCTt6SiOGaYuPNBQ5vka+1k/Sr6AAOKGmokNXaAfRbZi8qi9uV2A5KveZ6EbKH/K0A4xMn
cpI8+CHvUtVjUZaC15OVVDtuR19dOa4o6gVjb8cfb8SR/BLn2AjTxObqVsodFmD/pUttkd1YmNoO
+C4hc1yvecvAg7XRe6UPGq26/gfXEXdDOsKm5OjO+9TVY2ScRNtjV7Yh/+kUexIXkEQROK+o69Ff
EB2R5+n2QJ6mBvy6pFFek5YhaFIuJTvyuuGYeRIkA8M5ZKWGs/y95XB3FUXuZ5wN+HiJkWEd4NfK
0bNepgqI32ZGC0p215UVEjqcwSnx2hdBFKV6mWJaDl5RgVknCkutUmKc0r2FZ+aTr9jp2UDpskgG
g7qK6guIIP/YNY16GLS6ejhHMSuwX6ywiFebhaxg/zBsELsaCgaTpBLJB2NJlgPLj1miecYEMAi6
1BXbc6de/Zuykj1ddW40442RqV88rFkBtyrltL6hpyV+4VEKTrPnrHSyKp27Jlf6LXxMRswJSwyt
uZNhZxuses6Xuipf6lh0J+bJgz4FCzYz9iH4fAwLepavHkTSqdCjFqLzPGO8e1G5esS9O5q7ruU4
0wrR39k6bTESM+5mxIj4nLqtXQSwPD+2vbHVjLplyEnzdtcrvS3jHgiGUpTadOj7Bdb80Ny4md+V
kar4Qfnx+9cKNkrTYDjRGJ7cN9YYZKV7idAE9FfymMTlaDopneiI0FmyqmI6JxrF2cxk4k4BN+Qc
wzEwL7mS017gtFa2AdxVHsQ1iZiqUKJm5eYuvyYVwYzuoMhMJztLyDFq7rSMAVOYZNktDln3g89l
2W1iOWDToMjYpyDQWj94c++eZObzmEvnVuFSSFCWZCktFarUVLwyVUFLTChcvYK2GyfxMHR7GYlM
vUH0IqeIbjmPqN6US9G0qNnzJyrbsmfCgM+gEtviXNCC8dDmlHFrPVXTG4v5/84bzZEKTiKiiQqL
ysk3gpWLbNvabhp6HFR3C+yhgz62Y7ioyGl5TZ9aFmk1pITs1uuSbLnl83K+EPitditF6jzHU50G
qOnZ97Nml6ek3Nxo+kg7MglEgq9EsJZLYi9VKIrW2Jk5dhCjt7sHqRPwdPzK2RJUmj9nJGo1KFN4
cqW89dJkfSjXxd7U7lDuqDyx9pE/umdmJcANWvnU+gOpje6a35VlW9+CulS4ANU+NZFcjdk3nIay
E0itnXaw/Voec0Kn59pEdudDqxhHEByeHaZBxLC9rebTwpKxYgVcIfm9Be6HfoETeAjxgYcAnBpr
rHbQTp1jocLKZPc2Jkasg0GYcO+pJ4S5NGM440E4YB5IMB8s2rvEDBtmTedjF7cfhrQ0QlpI9EvO
XO1cL0X/TGZBOy/XTLV2zVdP7F1/76+p64ih/KkHG7HPYDS/ZWzf4wBpE0NDVhr5k6EC3O5kanc6
OC+4psINc8+i/90GC4SejyvbdT9pefk2a2pEItxCtUx1cqe5XDYwuDCZISoPe13Fym0VMGfxR6W1
Cx5EcUL8vLK/NCqQbvSCEhoVUme1EscFz82nqNPRppF65jfaeCiD0Dp2girsvqjYO/4J5ylqWVFY
+btym9aCiUZquAgXxEnKhICsVEF6eyrEdMZi7ZLoMCl0HlhIvI7PDk/ehVqugmgtjg6YZm7LqOKS
RoIcjchKFfRY5Rh/YfEHQpEZbbh6oiHsMGKCi5MI+1xNac2+dxKNhalLnYOXD9OLlktMLosD85yx
k0jCrukvXZYgDztdDTeS+yIl1PDSoM8dV4JnpGaXfEf0fmU2o/N/MxcXLhLW8xTPHpc4AFxLO6W2
2vixkJZQiCgjic9xW94xPpKvGqyyG6zotw7Gvg0Pr+ixHAxmixOx7gCYSNSf8rZd0lfpNIN+LHNm
fietFasxHFi1/J3pm0M7bTM678Yg5uCGUtTT6bZpxppjiJ3W3nvUFizqUZZNzcLyveg+4DFc5Obe
zZDssSQVFtaOGH/HxGCdbJD5TjyApy4lRYuz8XA8In1NkV3Ciuv49bxmyxXqNk5Qrh6Dvil7YA9K
bIINeDVJNiIO9NVhk7ZNsZx0sc6XxaBMm70oPVkqG5z4Gvuzn07899+xDD8X7Zm/SK643zjPkw1z
wEM4hKZ+kVzdUW+6smuTQ+NgWefJx1ZwoPQM+W8O3NSU1SOxIM86LjVP0XAGRpSfRssYL4M1+lg4
R5Av+LnZvFvXx7To2VVfi0wApLCbSGNKa4uIRrGA7gDxVPk0IYcavj6elG43D7dYZfov3/fIaTnN
l2FVh5JqaWDCRCnWMgby8716rHxKFdW9WiWjrMB2GzZkf/5xKLjoz9E2Pg7F1bBdqiIQvYWrfv+n
UcLox6lmal5xqKIRpcFf5kFuEidvePrbJOMpFQUH4Myy/YT2u1zaHnLNtSAvrefuUiKX/h+v6F99
Qaj0pjIvm4LnyR9fkWYDKRt4ACIjoKIEjgb3uWe28iKZVUhGqOocNxlUKlhAQY7NyEa5wutW7EXH
s2UjZaMOE+zQ//yFKYzHz5gPhi4UKHv4pk3DZQDzC+ZjSCKS732aHaLa5wsta1Sa19VaB/lm4dBs
d1bps4+tK5tmlmDK2bb9+Qv4F98V3SWCrwwAusmrQJT7+buaEkfUq9HHB3v20X6jSsZpOOBTNe6w
siUxx5So2admmsQ3fROtFZNMGd3FVS+ePH0Qd1atQAp//qr+xceChAhMlgMfAPpfLyBcMhEDais+
VJpqc8fzGm9VPbTPXp7GJFQW9sxDCew71Ma4ef/zv/16u/7yrfDX0yyKox0N0/pFPqwWNx+qEbne
XuhaOWSiXRr2Kq1XZnwhyUIwfjUnz3zKibQfhTq4fW/0HK22MT5YzsKYllRxHyeHXs1emjausm/X
mrypUoV2f/6CDZTYXy4jWC+u5QCvZoT4v6qQEqG1MB1cbW8mABeINq6AuD1C39xqM8sFCz+1n4Y3
ao+VsTI8wczGOgDOaSWZ7rA8xSagy429aqoFzOJfWZ3450x4Md5ex0OmQbwvmLqMKQ1ANbj3NZCJ
cpO6DfWZ8Uhvynrt1oMTzvCGCOvIjcWB4Mv1zf4dif6/ItEMZlnW/v0k+h7kkYpcfqrSP/qVvv/g
jzm0RTuuQhsRE1DyuMeI+p8wNE//DQKAEEjxBg26iPf/PYfGvsQvKY/Sj8DI/2j3/m+s9Uy2BXNq
Zkp/jSdtOOrm+vnmo/QHU4ErdIOmAUH4748LUlGaci0bfTnQYZgv4SDqlEQB5PM7WB6UHDEFoWmR
HBd+lQkghR+wte6OeC+Fvlvbbso2SaFraDGyp7Q+oVpYC5DcqLHzPzf4fT9MSnkiwqGHVsopM1hL
TFkBVGHJfmaxwtUpDEzbphTa1l0Xzka4kTmisClb98q7izV96U6L0sG4I3V8fOv6HBka50qLifO2
u4pnjFdbwKdKUtOv8pq4Km1X0S2/CnD1VYzDGJmH5TBH4ZBUh9Rd068I+PHnSel4Mz/zZi91NpBP
QedLrpIfbgHkP56/Ei+yUgVrpQ+yfhc3o9IM0zrpb0elIwqlKEY6JsigVjqjpxTHzIUlhZsHHXJW
iqSmtMmCvMwc+E2ELKW0S6/jYxYaUGslheknMNLDtlJ6J82SMXonn7yl1NBp9cv7XimkvdJKdaWa
Zko/Ta5SKg706oQk0mwypbTmU+LuDDYO/UYRkcENx/oWUxfybJdjUQcDrb/iIunPAzIuDaf9o5Cy
wnfQgboPDYaTDUcP1N+qG8wXGsuMXTYo0jeeCmTiNYpueSSBJTJ1oirUV8A/HeXFdWoPtAlNMyeK
QvVvUiPXbpXi4o73yqEVygniLBnTe4sCtHoja8NUT8DhXeUWnhk6zR9Gmdkbv3S21AP3G9BIJBaT
vtyb1VyceH5HZ7/JqgeQo9ZtbhmvKSGJkD1rHiJgLrsKF9rjMtjt1tHs8jDp5UavRb/J8yy7REOr
fxg06YYRY9hj7NRYUUxvW1pgRpJBr8MIQA1txWMdHTI/sneDU+bf2GN+FpGv7WqLCTW2iUJcuMiB
XEL1OspVlEBufCKPng1FlMd/6FT2Q83VthGuf1PrURKUXuuENEu8UREA9n+mRjgxHEG23+NVysTe
xAPMYAHw71QwgX/jiR0fmyJpL3bRNLcLO+OTy9QqzLQEiruYR+ZMHVrB2HLdcNnSG+ksxp5abLpc
aWqn6NAiSNQ4g71Fq2STPvV2AP3XqoGhWOUSi2dKh+Z0R6R7MilHFavlDGE2JXHiXUjaE2DeLJrv
DY+GkdvToy3Zl1sB1KVEvAji3dmWZqb0xul094FpVJS8ztZa9gHQqcLcVX7NNrBghszfTwMGSBDj
1Sf1ogdFJkiadJGJcmSJWrPf4J1W2XGq1Wy+IMPEu2GYaVX7jmPm+Dim9Mbg7UkHjOhxrGXmXW7q
Y/ae5323ViHs6gqvY2JL/OON46+guI2ZlW1I4/i9FGnMMzcRKd+PVtP5Z041KvuMfs5oQqQzb9+b
FlVHDJfQ27al2efxYek9632oq6n/7Oa0FzvvfEb+QKvE0NentK9MRj5VlPcm/+OAnM30GvAPVO+h
B6sIMGzZ6C2MtY3Rd4SNmNzO27+f1P+JZmyya2RH+++f1K9fZf+Pl5RuoF8e1f/8yR+Pavc3F8WX
fSh5C7ClShf+8ag2YBcadDdg0lWeY+Mnm53+m0PTle7yfHfYwarN8w+bnfsbljiHM5lDrxvEUf+v
OI0hovz6qDbVU58TDA9qUKa/HnvjxaISJ6P5V5aMA6HS20AYjEbemIgKIXULHK1ydNYLT9KA7lV8
G+mcko4X0yFPOo10fjS4uw6v16MPCA2FrPBfQK0Xe47pEADTwUc+mu1WLXY9oLA8sY8yQuXZDdkQ
MWTTwG4EvmcXmMVy2wlHn74G9J/50BITgUHIHdEtcYdXxoufYRAwgxhtBSx3MsYd0wvw7IhTdySX
57Uf1w1vaYG+rIF+trLhIZ5qcerrCg/JXMlp2wOvGBU1hLUPteXMjzDkYZEB2VBrD2nUZDJMMLwe
OpNx4DotVTAj7L6uWApvMlNfnqJmMXdLJ5N7sGJOG/ireudFlcutUToMe1ihdo6r6MMJFpXHOLHt
nWHOPEAlv40qIW7AQDzXYJsUxmu89ayFwWrRbzSS4mHMBIb1P7X6xxxH8j3eXfMhonFvxmyIeMUc
c+AdF562hnDaqBFG7NwazSgCh5hsyGuG3iR7kBw1rCNDg8UUzebrkOfNAYLV2YXzvRdD8iGm1KcP
jYXoR+iOxGMse7JA68erdSaNNjKFr8CVeEg6QVRSBIFW8WzJJcsCeBRiq9EnTgBkMUtUARyTpKGG
MwmcQ5/p71QrYDbnvWzzqH+JKkhg/tQ9k+m0Nv6iVx/Z6S0nkTRgORYvAZS2bGPR2yyTcXyRFjPR
cHTr4paZaHtXVPje+ZTLxIXLUDt0G0nnPjdpA9ESd3yPush4WNo629qxM5+XtfnaG2bMuHVZnW3U
pvH9OmXyNPtMYDKHmasn5nPh5MRihMPWrdKiB2H2b7Agq43du/kxcboovpl62G8PM71G7SdQlRL+
dzvQGzGKB6ds7Jssbs3HHPxMqNnVcLYJsDmbHp9mjzeh7G4Zy32cEJvvtAavoTHpX62q/OhOUy03
pV21R5oYMTimpv6Bgb+QYdkt3jtyxvC0agNGzTEqwIREBX6pchjKg24NdgbLj4JZLKjT9DGBfKfj
WyWUt5VaC80gV0AbAITG1naZwKeVHPWHsV6LTQ5g4Ny0QJI2M07Xh7Ex7jFevq/Sf8cbGXTUh247
Vwcp7Dtp42OsS9puP+Kw3+uwO1+RuJ4YKHzVyfthsoQ3t+0sTz/YBSOXD0lBKBFPCU1FiWMcYtac
C38CookpEzCm6Q2n9ole2qqUXMxWMm+GWE7GrfTlGu+9CLV0M3TNe5lqzXDp+sXlJdF1oQ3R/ThU
ddC1ORsWRIhQjtD5Bt3fAwpMkEbXsX0wkIMhl0eihPFOL/UND3LCxKnEk0XzV23fStuMtq5ZJ8cE
kM62bZQf0iUSJRjPvlpdudhBv95UuqsdYgLq+9wrmKo4hrazI8QZX1+mXaVgQzFb17fZNuEvZe10
46Xuzqr6MlAGiAGPg4VlvmNWzzEiZ+aSjwF7ZKAmY27BaShbmhpM6tlw0+9HS2LYFGV8S00Yo9Qh
W9enttDto9173e2s9xoiYJgMxQ0exzgsC0IBQUqiaQs7rdxlzY2zzG+cr5yw7qRxnNdo3dr8VzeF
DZ9UFGabBralzTQi1q2hhzYVZ+4xd/CVOm7XPph+Zz5hYgJv6NCzm9gCZsTSrAuEy6iGuVzk+fuq
xukgJ6Yb2xIZp47xYwFah+nnQMCdGFu3M2z2nfM63hVrvHwbEiZLJKhdTLMxJxggE8N+juRngP30
R6Bnwdh0KhHWhk7fRUmFeV1H3Tktho88WLBs9sV4qNaW9gg1PF1xU08TUd0y7T9jkjAL7AuuPFtl
RJw6Fo8xp2ZSp6V+k+ou0fXKy/YwQXCCUzpA2Fj/L+7OZLltJAnDr+LoOxXYl0N3xHCzKFqyJbtb
8lwYsEgT+w5iefr+QAq2QC32GIyZjsFNBFRMJqqysjL//HPM6dngFBTVQH5Gu3OJcoyFUFM1vwIv
tdBKpZrBKi8stZyEBiAvA+YLQXpXUBC0rELdmVWSf7PSmpoM31Z/W8ZmZoANdb4WTl20eRBou4IY
2wvi2p+aspQsElMMmrG7pWWGUEH3KUaTUVRJJCtYopd2vHWuHJqtTTzSi5O68cypKjniBeiI1bws
kmUVBAkVPlW2VqO0ogNSTNze9+n1J8uAVyCxX6QNlK1mHiy2KgWXJge9wiu/wEFezASxFqkOZ7uh
RnRhpNn2HKJueRqsjKuduLrJs1C+kgMJzHqxU69LgELzlBrYbe3eFEI2ui5t90OFXi9WFRSxqeBf
bfWgmVfQK7A1UqkjELPPtLnaZDDJAFyAumZXcDpUqvpPosP1uCzQ602Cu6xdQBpUE+wmbRdxBIXh
i+q61kMGclPjLoP3wHfWQqMRZrRGi5uPAXw8ozvQ6XjcDsUJzdRpHXH6+rZOOcXxvg/HcS6K9Xms
Oh9VPdVcXPYGVyaj3vRq54kp00oV5bEEn1AEF2EabOpIrNSxUDTJewkMuD2NgUbcynFR3QaRUF3o
uSsuiyTM3tJTpcxpvqBXcBvW3u5C0LwS0++H6GBn5+d1IDQz+gvGpINGmlW7hjvFn3MvdgKcQGNV
0oMbA9QO7dmCbEo5xkzXzXJONG+7TqRiRI0iZ/+sNpJ5aSTiXE7pWQFMFvPqJTIK8moSCABet38p
9Sqe6i6nILocZDgdgaycO2mj7KZCoxbjMipEwMGa3JQtRZa8TOMisGe5lEIsOZbqgm7F7FzCnNNW
uhobtQ0nbqbDw9B4wDzqDBgcWa9sVywEuy6Wvu2NFqMkgSlAoKSMGlBZMd+L6kjLJ1HeJM4cQDkA
DsNsyPLLBYdl6ok+Z2SzSZK4gntt2Cl9qky3BD2l1c4kgujvLc1nqjlpEO28Ee1qN4ZrfQfCsE71
lreszm990zSnK46O7wK37WTn8/LvGtlR5hBfv5VpTgLxBclGGA1COuolnrPivC/vzslbkM4aObAb
yVDlXim1BhYKDyghewRuckHAQ7ilOtydAHKGII0ab+p+Y5ri0IDFywUIdvL8DuPdzGSUtASK8gWe
XRpJ6aoQjHmjK1qkeUJNpCX17FmZk+kap4UqTXKiJ3FLhRe8D5PMADnh2cUsV+1LCBhikMhB/q4k
obogF09ToBDM6HXmp4UH527o09kJal6Tl0bcNyN37odKvaZpqf1vE5/7T6nW9OVKgZZ20kaKATbg
mk1XW3FrXgaCCq6l1u9yYm+3NBIEeLBVFdhXIWKSKlVYpFLdpJPMdbXPMqCGcgISMz13ZB074Evm
pe/W9UYa0SUtTxzRwp46F045onqZxOvdDgpzGl6lgb6aE6i2jSmcq2TJ8oBkf5jLN8T45Lb2n2JY
Qu8zT3HMt4CoC3Lyu92y0XflVZ1tyxv6W8IDEpbVxFVhN4jIbls1Sb2EiHekzEUnojAhFuN0lkgQ
vgVRBbxilSdUsNvaXNoJ+loKpepdTKLwykia+GNcwpEzwZ67XwGpZZ/MUPDvtqLgb6fU75oXUb1d
XdA+XrgQ4lUy15mvSyHZatdyk5eTUoijhdQiyEdAvElqK/GsJqKF70/hsqquCoADOZ3HPD8I56VG
GTC41nBRCfjiMdCbT2SY5PlISGf0GSFst00pUnCD3ZVLTmSJkaB/TmCzWHRYpjOALJQL0s3AHiVw
iAcuFFiKGEQTb0ejqyjIWOup4i5jBx8F7pgEBwp+NdvT1AYWQrucOUmhfd3Rm2StBZADAK8zq8ud
JFXyvEyVaP7/df5/SDm0vRhn+3P9dbFJ65sNiJ8867DU7d0PEfVfn6Jfe+j1gd5Qf+Hk9Q9i/7IK
+uwoorAXai/xa2P4FsMX682evEkVJcPkzI754yKa4AOGfrgN8x6JAYMKPOHh/iHZ8EhJL6nh9V94
0Ofrz/R+wX1UhHn7HrZOFPZqENuKwV5U5QUdHI3wSAfmGZguMq4ytYbtxW98rAMT+lfRIEtsKgcd
Hb7wv68DCyx8OHUoCHPu88c6gI/rSWzpBS0cjfFdC4pwJkpURbaIxsPV14JhnvE11KMY6rf7qP0f
pAWZpCzBqJ+ZCy9qQRbPFOJjigH56v4iEXY0F2QZrDGW9qCFQ0jvH6QF6myPOZL/06kAoxvssIQY
RTiP2+tICRxn4HYjtywqYjdV/llTgbcnE+EcNBUk4wzYiSoSAztcR1owpLOWLB94xsMD/yvTeDSZ
D3vHYv37by2AhETqIC1gFig/IQOs03CmvY42CLTAHXw65bvx/Nm58BOr5tuOO7Edf73fa51N9tyW
/NID3R7z9P7D/nLQ1Pd+x/sH26338N3ft+I/eoreW75HNztL+PjfH37g069+Vqjuw3Nnk1rpPUmx
vRfwIOaVFbBf/8u3vlh9DkcMFTPvuyS//9aT89H7/8HAmWd147Q6EYUW4jJ4XIjdon4JHDTgmOnh
A3tWmFlZN9JeZHh0ur+fdZ6+LYXXVDGxfOdrlB5lYQ52dajUk8iPUmsddVK2Uusk9Lu/B0gNn97m
Pnfui55rwLGfFTtU7OnGt0or3XQjtWIbIMS6v39d7M6deRN9fYNyiuBLH6diiq0JGyr/HK07fcKe
hy1i6MgwxJKx6y8c8I24iENHPkfjjtONs5/e8r5AdOjAizU8sL1xwdScwIQsfIpdI6e/Ig+e6WCR
w7Vz1NgBZ9Rgix88clT2Xx4NH1tKk5cPYD9lQ5ZPbZMmSidYL0skK+69Hg0LVcItmclQmd9FhZM9
UTOwsBPMjUvwwz3rQUT8FNvLpQXS1grX3a9vl4kk4Jd1H/y6Zbq0ssy6t4tsk+e9OS2BGTmFSpx7
29la/cMsrvUJ9oJLp+1zGOW9mQ1rc4vdGzpLqC2AhJJC6rhnmyRIUU80elSkx0OfRPCXm8MMXOxX
my+pdeQ9wdkGkGKwtl8mmhssc/nm3KKK13b62zpHBvMEq+d1wqgTCH+5qZz73jYGCLU99A2d4K3k
n2F96kbamxRgLCcw3j+mhRiqmD3vxNTyjtc+GKITuCTvbaev8cMBc6jGX2OmH6iQ9+mGitLeq1TI
Fncf/Pru8OEHuOqBct/Y0XrzZpE92dt0ekwNl/5jVLzAT0IMTTyBL3H4gqcTsR3+BOeRVxv5DlT9
p03VP1U+xBWHzvKX2pEPFPevTQpeOe/mRGut2hKZExjCZ7GIh5zDUF3cWuw74RaIXF9uKlW6D359
af4QSDlQ47dOdh+FkIR3ou51TpXfCRbmbQ1cO9z2R4YYsfvgJa08F2n6Fpx/Gn/q0i/P/Vs/uNY+
ce9vrPSPvwEAAP//</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9.xml"/><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5.xml"/><Relationship Id="rId1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34</xdr:col>
      <xdr:colOff>516022</xdr:colOff>
      <xdr:row>5</xdr:row>
      <xdr:rowOff>45156</xdr:rowOff>
    </xdr:from>
    <xdr:to>
      <xdr:col>46</xdr:col>
      <xdr:colOff>93580</xdr:colOff>
      <xdr:row>26</xdr:row>
      <xdr:rowOff>121356</xdr:rowOff>
    </xdr:to>
    <xdr:graphicFrame macro="">
      <xdr:nvGraphicFramePr>
        <xdr:cNvPr id="3" name="Chart 2">
          <a:extLst>
            <a:ext uri="{FF2B5EF4-FFF2-40B4-BE49-F238E27FC236}">
              <a16:creationId xmlns:a16="http://schemas.microsoft.com/office/drawing/2014/main" id="{C512D7C8-48E5-48E7-8775-6AAB2B46E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74061</xdr:colOff>
      <xdr:row>5</xdr:row>
      <xdr:rowOff>0</xdr:rowOff>
    </xdr:from>
    <xdr:to>
      <xdr:col>34</xdr:col>
      <xdr:colOff>516021</xdr:colOff>
      <xdr:row>42</xdr:row>
      <xdr:rowOff>89744</xdr:rowOff>
    </xdr:to>
    <xdr:graphicFrame macro="">
      <xdr:nvGraphicFramePr>
        <xdr:cNvPr id="4" name="Chart 3">
          <a:extLst>
            <a:ext uri="{FF2B5EF4-FFF2-40B4-BE49-F238E27FC236}">
              <a16:creationId xmlns:a16="http://schemas.microsoft.com/office/drawing/2014/main" id="{C53AA771-7DCD-4E24-8855-AE226373F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516021</xdr:colOff>
      <xdr:row>26</xdr:row>
      <xdr:rowOff>121356</xdr:rowOff>
    </xdr:from>
    <xdr:to>
      <xdr:col>46</xdr:col>
      <xdr:colOff>60693</xdr:colOff>
      <xdr:row>59</xdr:row>
      <xdr:rowOff>-1</xdr:rowOff>
    </xdr:to>
    <xdr:graphicFrame macro="">
      <xdr:nvGraphicFramePr>
        <xdr:cNvPr id="2" name="Chart 1">
          <a:extLst>
            <a:ext uri="{FF2B5EF4-FFF2-40B4-BE49-F238E27FC236}">
              <a16:creationId xmlns:a16="http://schemas.microsoft.com/office/drawing/2014/main" id="{0FF5D976-4DAC-4845-99EE-EF13FAD9F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46</xdr:col>
      <xdr:colOff>76200</xdr:colOff>
      <xdr:row>5</xdr:row>
      <xdr:rowOff>106680</xdr:rowOff>
    </xdr:from>
    <xdr:to>
      <xdr:col>67</xdr:col>
      <xdr:colOff>177800</xdr:colOff>
      <xdr:row>59</xdr:row>
      <xdr:rowOff>0</xdr:rowOff>
    </xdr:to>
    <xdr:graphicFrame macro="">
      <xdr:nvGraphicFramePr>
        <xdr:cNvPr id="5" name="Chart 4">
          <a:extLst>
            <a:ext uri="{FF2B5EF4-FFF2-40B4-BE49-F238E27FC236}">
              <a16:creationId xmlns:a16="http://schemas.microsoft.com/office/drawing/2014/main" id="{82EDBBA0-BD44-4B39-AD28-F30C57011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74062</xdr:colOff>
      <xdr:row>42</xdr:row>
      <xdr:rowOff>160302</xdr:rowOff>
    </xdr:from>
    <xdr:to>
      <xdr:col>34</xdr:col>
      <xdr:colOff>516022</xdr:colOff>
      <xdr:row>59</xdr:row>
      <xdr:rowOff>0</xdr:rowOff>
    </xdr:to>
    <mc:AlternateContent xmlns:mc="http://schemas.openxmlformats.org/markup-compatibility/2006" xmlns:a14="http://schemas.microsoft.com/office/drawing/2010/main">
      <mc:Choice Requires="a14">
        <xdr:graphicFrame macro="">
          <xdr:nvGraphicFramePr>
            <xdr:cNvPr id="7" name="Months (Sale_Date)">
              <a:extLst>
                <a:ext uri="{FF2B5EF4-FFF2-40B4-BE49-F238E27FC236}">
                  <a16:creationId xmlns:a16="http://schemas.microsoft.com/office/drawing/2014/main" id="{FA7F41DF-6977-2A3E-922A-BC66571C849D}"/>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3644919" y="7780302"/>
              <a:ext cx="7844246" cy="2923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375312</xdr:colOff>
      <xdr:row>47</xdr:row>
      <xdr:rowOff>175261</xdr:rowOff>
    </xdr:to>
    <xdr:sp macro="" textlink="">
      <xdr:nvSpPr>
        <xdr:cNvPr id="2" name="Rectangle: Rounded Corners 1">
          <a:extLst>
            <a:ext uri="{FF2B5EF4-FFF2-40B4-BE49-F238E27FC236}">
              <a16:creationId xmlns:a16="http://schemas.microsoft.com/office/drawing/2014/main" id="{4A0439EA-93E3-6D03-ACFD-4A19741240E7}"/>
            </a:ext>
          </a:extLst>
        </xdr:cNvPr>
        <xdr:cNvSpPr/>
      </xdr:nvSpPr>
      <xdr:spPr>
        <a:xfrm>
          <a:off x="0" y="0"/>
          <a:ext cx="13886596" cy="8727858"/>
        </a:xfrm>
        <a:prstGeom prst="roundRect">
          <a:avLst>
            <a:gd name="adj" fmla="val 953"/>
          </a:avLst>
        </a:prstGeom>
        <a:solidFill>
          <a:schemeClr val="bg1">
            <a:lumMod val="85000"/>
          </a:schemeClr>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1</xdr:row>
      <xdr:rowOff>0</xdr:rowOff>
    </xdr:from>
    <xdr:to>
      <xdr:col>2</xdr:col>
      <xdr:colOff>411480</xdr:colOff>
      <xdr:row>6</xdr:row>
      <xdr:rowOff>121920</xdr:rowOff>
    </xdr:to>
    <xdr:sp macro="" textlink="">
      <xdr:nvSpPr>
        <xdr:cNvPr id="3" name="Rectangle: Rounded Corners 2">
          <a:extLst>
            <a:ext uri="{FF2B5EF4-FFF2-40B4-BE49-F238E27FC236}">
              <a16:creationId xmlns:a16="http://schemas.microsoft.com/office/drawing/2014/main" id="{A2439CC6-4B6B-1339-79D2-48D6F841F9B7}"/>
            </a:ext>
          </a:extLst>
        </xdr:cNvPr>
        <xdr:cNvSpPr/>
      </xdr:nvSpPr>
      <xdr:spPr>
        <a:xfrm>
          <a:off x="152400" y="182880"/>
          <a:ext cx="1478280" cy="1036320"/>
        </a:xfrm>
        <a:prstGeom prst="roundRect">
          <a:avLst/>
        </a:prstGeom>
        <a:gradFill>
          <a:gsLst>
            <a:gs pos="0">
              <a:schemeClr val="accent1">
                <a:lumMod val="75000"/>
              </a:schemeClr>
            </a:gs>
            <a:gs pos="81000">
              <a:schemeClr val="accent1">
                <a:lumMod val="45000"/>
                <a:lumOff val="55000"/>
              </a:schemeClr>
            </a:gs>
            <a:gs pos="100000">
              <a:schemeClr val="accent1">
                <a:lumMod val="30000"/>
                <a:lumOff val="70000"/>
              </a:schemeClr>
            </a:gs>
          </a:gsLst>
          <a:lin ang="5400000" scaled="1"/>
        </a:gradFill>
        <a:ln>
          <a:solidFill>
            <a:schemeClr val="accent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502920</xdr:colOff>
      <xdr:row>1</xdr:row>
      <xdr:rowOff>15240</xdr:rowOff>
    </xdr:from>
    <xdr:to>
      <xdr:col>22</xdr:col>
      <xdr:colOff>318447</xdr:colOff>
      <xdr:row>6</xdr:row>
      <xdr:rowOff>90985</xdr:rowOff>
    </xdr:to>
    <xdr:sp macro="" textlink="">
      <xdr:nvSpPr>
        <xdr:cNvPr id="4" name="Rectangle: Rounded Corners 3">
          <a:extLst>
            <a:ext uri="{FF2B5EF4-FFF2-40B4-BE49-F238E27FC236}">
              <a16:creationId xmlns:a16="http://schemas.microsoft.com/office/drawing/2014/main" id="{94C4257F-4ACC-4D79-97DD-23C576C706A4}"/>
            </a:ext>
          </a:extLst>
        </xdr:cNvPr>
        <xdr:cNvSpPr/>
      </xdr:nvSpPr>
      <xdr:spPr>
        <a:xfrm>
          <a:off x="1731219" y="197210"/>
          <a:ext cx="12098512" cy="985596"/>
        </a:xfrm>
        <a:prstGeom prst="roundRect">
          <a:avLst/>
        </a:prstGeom>
        <a:gradFill>
          <a:gsLst>
            <a:gs pos="100000">
              <a:schemeClr val="accent1">
                <a:lumMod val="75000"/>
              </a:schemeClr>
            </a:gs>
            <a:gs pos="100000">
              <a:schemeClr val="accent1">
                <a:lumMod val="45000"/>
                <a:lumOff val="55000"/>
              </a:schemeClr>
            </a:gs>
            <a:gs pos="100000">
              <a:schemeClr val="accent1">
                <a:lumMod val="30000"/>
                <a:lumOff val="70000"/>
              </a:schemeClr>
            </a:gs>
          </a:gsLst>
          <a:lin ang="5400000" scaled="1"/>
        </a:gradFill>
        <a:ln>
          <a:solidFill>
            <a:schemeClr val="accent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3" algn="l"/>
          <a:r>
            <a:rPr lang="en-US" sz="4800" b="1" i="0">
              <a:solidFill>
                <a:schemeClr val="bg1"/>
              </a:solidFill>
            </a:rPr>
            <a:t>SALES</a:t>
          </a:r>
          <a:r>
            <a:rPr lang="en-US" sz="4800" b="1" i="0" baseline="0">
              <a:solidFill>
                <a:schemeClr val="bg1"/>
              </a:solidFill>
            </a:rPr>
            <a:t> &amp; PROFIT DASHBOARD</a:t>
          </a:r>
          <a:endParaRPr lang="en-US" sz="4800" b="1" i="0">
            <a:solidFill>
              <a:schemeClr val="bg1"/>
            </a:solidFill>
          </a:endParaRPr>
        </a:p>
      </xdr:txBody>
    </xdr:sp>
    <xdr:clientData/>
  </xdr:twoCellAnchor>
  <xdr:twoCellAnchor>
    <xdr:from>
      <xdr:col>3</xdr:col>
      <xdr:colOff>60960</xdr:colOff>
      <xdr:row>7</xdr:row>
      <xdr:rowOff>22860</xdr:rowOff>
    </xdr:from>
    <xdr:to>
      <xdr:col>6</xdr:col>
      <xdr:colOff>121920</xdr:colOff>
      <xdr:row>13</xdr:row>
      <xdr:rowOff>68580</xdr:rowOff>
    </xdr:to>
    <xdr:sp macro="" textlink="'Sales Dashboard'!$A$11">
      <xdr:nvSpPr>
        <xdr:cNvPr id="6" name="Rectangle 5">
          <a:extLst>
            <a:ext uri="{FF2B5EF4-FFF2-40B4-BE49-F238E27FC236}">
              <a16:creationId xmlns:a16="http://schemas.microsoft.com/office/drawing/2014/main" id="{DCB9D485-432D-7739-F992-67887CFA36D4}"/>
            </a:ext>
          </a:extLst>
        </xdr:cNvPr>
        <xdr:cNvSpPr/>
      </xdr:nvSpPr>
      <xdr:spPr>
        <a:xfrm>
          <a:off x="1889760" y="1303020"/>
          <a:ext cx="1889760" cy="1143000"/>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tx2">
              <a:lumMod val="75000"/>
              <a:lumOff val="25000"/>
            </a:schemeClr>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4141775-6245-42B4-8AEB-117017EC6177}" type="TxLink">
            <a:rPr lang="en-US" sz="1100" b="0" i="0" u="none" strike="noStrike">
              <a:solidFill>
                <a:srgbClr val="000000"/>
              </a:solidFill>
              <a:latin typeface="Aptos Narrow"/>
            </a:rPr>
            <a:pPr algn="l"/>
            <a:t> </a:t>
          </a:fld>
          <a:endParaRPr lang="en-US" sz="1100"/>
        </a:p>
      </xdr:txBody>
    </xdr:sp>
    <xdr:clientData/>
  </xdr:twoCellAnchor>
  <xdr:twoCellAnchor>
    <xdr:from>
      <xdr:col>6</xdr:col>
      <xdr:colOff>342900</xdr:colOff>
      <xdr:row>7</xdr:row>
      <xdr:rowOff>30480</xdr:rowOff>
    </xdr:from>
    <xdr:to>
      <xdr:col>9</xdr:col>
      <xdr:colOff>342900</xdr:colOff>
      <xdr:row>13</xdr:row>
      <xdr:rowOff>76200</xdr:rowOff>
    </xdr:to>
    <xdr:sp macro="" textlink="">
      <xdr:nvSpPr>
        <xdr:cNvPr id="7" name="Rectangle 6">
          <a:extLst>
            <a:ext uri="{FF2B5EF4-FFF2-40B4-BE49-F238E27FC236}">
              <a16:creationId xmlns:a16="http://schemas.microsoft.com/office/drawing/2014/main" id="{DFF5F625-0D94-4B93-BBF6-30FAF8EF7D68}"/>
            </a:ext>
          </a:extLst>
        </xdr:cNvPr>
        <xdr:cNvSpPr/>
      </xdr:nvSpPr>
      <xdr:spPr>
        <a:xfrm>
          <a:off x="4000500" y="1310640"/>
          <a:ext cx="1828800" cy="1143000"/>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tx2">
              <a:lumMod val="75000"/>
              <a:lumOff val="25000"/>
            </a:schemeClr>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14</xdr:row>
      <xdr:rowOff>68580</xdr:rowOff>
    </xdr:from>
    <xdr:to>
      <xdr:col>9</xdr:col>
      <xdr:colOff>335280</xdr:colOff>
      <xdr:row>30</xdr:row>
      <xdr:rowOff>167640</xdr:rowOff>
    </xdr:to>
    <xdr:sp macro="" textlink="">
      <xdr:nvSpPr>
        <xdr:cNvPr id="8" name="Rectangle 7">
          <a:extLst>
            <a:ext uri="{FF2B5EF4-FFF2-40B4-BE49-F238E27FC236}">
              <a16:creationId xmlns:a16="http://schemas.microsoft.com/office/drawing/2014/main" id="{5B60C835-F96B-4254-92BE-96C8AB3AA832}"/>
            </a:ext>
          </a:extLst>
        </xdr:cNvPr>
        <xdr:cNvSpPr/>
      </xdr:nvSpPr>
      <xdr:spPr>
        <a:xfrm>
          <a:off x="1866900" y="2628900"/>
          <a:ext cx="3954780" cy="3025140"/>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accent1"/>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60960</xdr:colOff>
      <xdr:row>31</xdr:row>
      <xdr:rowOff>175260</xdr:rowOff>
    </xdr:from>
    <xdr:to>
      <xdr:col>13</xdr:col>
      <xdr:colOff>523164</xdr:colOff>
      <xdr:row>47</xdr:row>
      <xdr:rowOff>106680</xdr:rowOff>
    </xdr:to>
    <xdr:sp macro="" textlink="">
      <xdr:nvSpPr>
        <xdr:cNvPr id="9" name="Rectangle 8">
          <a:extLst>
            <a:ext uri="{FF2B5EF4-FFF2-40B4-BE49-F238E27FC236}">
              <a16:creationId xmlns:a16="http://schemas.microsoft.com/office/drawing/2014/main" id="{6176E162-0303-45AD-9FEB-D277130BADEC}"/>
            </a:ext>
          </a:extLst>
        </xdr:cNvPr>
        <xdr:cNvSpPr/>
      </xdr:nvSpPr>
      <xdr:spPr>
        <a:xfrm>
          <a:off x="1903408" y="5816335"/>
          <a:ext cx="6603696" cy="2842942"/>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accent1"/>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556260</xdr:colOff>
      <xdr:row>7</xdr:row>
      <xdr:rowOff>45493</xdr:rowOff>
    </xdr:from>
    <xdr:to>
      <xdr:col>15</xdr:col>
      <xdr:colOff>216089</xdr:colOff>
      <xdr:row>30</xdr:row>
      <xdr:rowOff>160020</xdr:rowOff>
    </xdr:to>
    <xdr:sp macro="" textlink="">
      <xdr:nvSpPr>
        <xdr:cNvPr id="10" name="Rectangle 9">
          <a:extLst>
            <a:ext uri="{FF2B5EF4-FFF2-40B4-BE49-F238E27FC236}">
              <a16:creationId xmlns:a16="http://schemas.microsoft.com/office/drawing/2014/main" id="{8B432CF6-766B-47E5-AAD6-06E76021BE79}"/>
            </a:ext>
          </a:extLst>
        </xdr:cNvPr>
        <xdr:cNvSpPr/>
      </xdr:nvSpPr>
      <xdr:spPr>
        <a:xfrm>
          <a:off x="6083603" y="1319284"/>
          <a:ext cx="3344725" cy="4299840"/>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accent1"/>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79611</xdr:colOff>
      <xdr:row>31</xdr:row>
      <xdr:rowOff>152400</xdr:rowOff>
    </xdr:from>
    <xdr:to>
      <xdr:col>22</xdr:col>
      <xdr:colOff>295701</xdr:colOff>
      <xdr:row>47</xdr:row>
      <xdr:rowOff>106680</xdr:rowOff>
    </xdr:to>
    <xdr:sp macro="" textlink="">
      <xdr:nvSpPr>
        <xdr:cNvPr id="11" name="Rectangle 10">
          <a:extLst>
            <a:ext uri="{FF2B5EF4-FFF2-40B4-BE49-F238E27FC236}">
              <a16:creationId xmlns:a16="http://schemas.microsoft.com/office/drawing/2014/main" id="{59ACCAAA-46FD-45BC-BBFE-67EB2B9E9C97}"/>
            </a:ext>
          </a:extLst>
        </xdr:cNvPr>
        <xdr:cNvSpPr/>
      </xdr:nvSpPr>
      <xdr:spPr>
        <a:xfrm>
          <a:off x="8677701" y="5793475"/>
          <a:ext cx="5129284" cy="2865802"/>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accent1"/>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375313</xdr:colOff>
      <xdr:row>7</xdr:row>
      <xdr:rowOff>11373</xdr:rowOff>
    </xdr:from>
    <xdr:to>
      <xdr:col>22</xdr:col>
      <xdr:colOff>261582</xdr:colOff>
      <xdr:row>18</xdr:row>
      <xdr:rowOff>167640</xdr:rowOff>
    </xdr:to>
    <xdr:sp macro="" textlink="">
      <xdr:nvSpPr>
        <xdr:cNvPr id="12" name="Rectangle 11">
          <a:extLst>
            <a:ext uri="{FF2B5EF4-FFF2-40B4-BE49-F238E27FC236}">
              <a16:creationId xmlns:a16="http://schemas.microsoft.com/office/drawing/2014/main" id="{EE90AE60-3C58-4F3D-B5FD-7B462A0D15E1}"/>
            </a:ext>
          </a:extLst>
        </xdr:cNvPr>
        <xdr:cNvSpPr/>
      </xdr:nvSpPr>
      <xdr:spPr>
        <a:xfrm>
          <a:off x="9587552" y="1285164"/>
          <a:ext cx="4185314" cy="2157939"/>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accent1"/>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365220</xdr:colOff>
      <xdr:row>19</xdr:row>
      <xdr:rowOff>101719</xdr:rowOff>
    </xdr:from>
    <xdr:to>
      <xdr:col>22</xdr:col>
      <xdr:colOff>285608</xdr:colOff>
      <xdr:row>30</xdr:row>
      <xdr:rowOff>155514</xdr:rowOff>
    </xdr:to>
    <xdr:sp macro="" textlink="">
      <xdr:nvSpPr>
        <xdr:cNvPr id="13" name="Rectangle 12">
          <a:extLst>
            <a:ext uri="{FF2B5EF4-FFF2-40B4-BE49-F238E27FC236}">
              <a16:creationId xmlns:a16="http://schemas.microsoft.com/office/drawing/2014/main" id="{2A42E870-2509-4FAB-A382-636E06B598FB}"/>
            </a:ext>
          </a:extLst>
        </xdr:cNvPr>
        <xdr:cNvSpPr/>
      </xdr:nvSpPr>
      <xdr:spPr>
        <a:xfrm>
          <a:off x="9541417" y="3568282"/>
          <a:ext cx="4202614" cy="2060753"/>
        </a:xfrm>
        <a:prstGeom prst="rect">
          <a:avLst/>
        </a:prstGeom>
        <a:gradFill>
          <a:gsLst>
            <a:gs pos="97500">
              <a:srgbClr val="29BAF0"/>
            </a:gs>
            <a:gs pos="95000">
              <a:srgbClr val="51C4F0"/>
            </a:gs>
            <a:gs pos="100000">
              <a:srgbClr val="00B0F0"/>
            </a:gs>
            <a:gs pos="90000">
              <a:schemeClr val="accent1">
                <a:lumMod val="30000"/>
                <a:lumOff val="70000"/>
              </a:schemeClr>
            </a:gs>
          </a:gsLst>
          <a:lin ang="5400000" scaled="1"/>
        </a:gradFill>
        <a:ln>
          <a:solidFill>
            <a:schemeClr val="accent1"/>
          </a:solidFill>
        </a:ln>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139093</xdr:colOff>
      <xdr:row>0</xdr:row>
      <xdr:rowOff>159224</xdr:rowOff>
    </xdr:from>
    <xdr:to>
      <xdr:col>19</xdr:col>
      <xdr:colOff>448442</xdr:colOff>
      <xdr:row>5</xdr:row>
      <xdr:rowOff>159224</xdr:rowOff>
    </xdr:to>
    <xdr:pic>
      <xdr:nvPicPr>
        <xdr:cNvPr id="17" name="Graphic 16" descr="Bar graph with upward trend with solid fill">
          <a:extLst>
            <a:ext uri="{FF2B5EF4-FFF2-40B4-BE49-F238E27FC236}">
              <a16:creationId xmlns:a16="http://schemas.microsoft.com/office/drawing/2014/main" id="{ABA1735F-3248-9288-CB76-375D5628DD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93780" y="159224"/>
          <a:ext cx="923498" cy="909851"/>
        </a:xfrm>
        <a:prstGeom prst="rect">
          <a:avLst/>
        </a:prstGeom>
      </xdr:spPr>
    </xdr:pic>
    <xdr:clientData/>
  </xdr:twoCellAnchor>
  <xdr:twoCellAnchor editAs="oneCell">
    <xdr:from>
      <xdr:col>0</xdr:col>
      <xdr:colOff>426720</xdr:colOff>
      <xdr:row>1</xdr:row>
      <xdr:rowOff>64393</xdr:rowOff>
    </xdr:from>
    <xdr:to>
      <xdr:col>2</xdr:col>
      <xdr:colOff>121920</xdr:colOff>
      <xdr:row>5</xdr:row>
      <xdr:rowOff>64393</xdr:rowOff>
    </xdr:to>
    <xdr:pic>
      <xdr:nvPicPr>
        <xdr:cNvPr id="21" name="Graphic 20" descr="Books with solid fill">
          <a:extLst>
            <a:ext uri="{FF2B5EF4-FFF2-40B4-BE49-F238E27FC236}">
              <a16:creationId xmlns:a16="http://schemas.microsoft.com/office/drawing/2014/main" id="{B67515B2-0E28-EDB4-3723-331CAE6AA60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6720" y="246844"/>
          <a:ext cx="918693" cy="729803"/>
        </a:xfrm>
        <a:prstGeom prst="rect">
          <a:avLst/>
        </a:prstGeom>
      </xdr:spPr>
    </xdr:pic>
    <xdr:clientData/>
  </xdr:twoCellAnchor>
  <xdr:oneCellAnchor>
    <xdr:from>
      <xdr:col>0</xdr:col>
      <xdr:colOff>289560</xdr:colOff>
      <xdr:row>5</xdr:row>
      <xdr:rowOff>7621</xdr:rowOff>
    </xdr:from>
    <xdr:ext cx="1234440" cy="259080"/>
    <xdr:sp macro="" textlink="">
      <xdr:nvSpPr>
        <xdr:cNvPr id="22" name="TextBox 21">
          <a:extLst>
            <a:ext uri="{FF2B5EF4-FFF2-40B4-BE49-F238E27FC236}">
              <a16:creationId xmlns:a16="http://schemas.microsoft.com/office/drawing/2014/main" id="{A5361CE5-AC63-4767-C8D8-186462D34E23}"/>
            </a:ext>
          </a:extLst>
        </xdr:cNvPr>
        <xdr:cNvSpPr txBox="1"/>
      </xdr:nvSpPr>
      <xdr:spPr>
        <a:xfrm>
          <a:off x="289560" y="922021"/>
          <a:ext cx="1234440" cy="259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bg1"/>
              </a:solidFill>
              <a:latin typeface="+mn-lt"/>
            </a:rPr>
            <a:t>DATA</a:t>
          </a:r>
          <a:r>
            <a:rPr lang="en-US" sz="1200" b="1" baseline="0">
              <a:solidFill>
                <a:schemeClr val="bg1"/>
              </a:solidFill>
              <a:latin typeface="+mn-lt"/>
            </a:rPr>
            <a:t> ANALYST</a:t>
          </a:r>
          <a:endParaRPr lang="en-US" sz="1000" b="1">
            <a:solidFill>
              <a:schemeClr val="bg1"/>
            </a:solidFill>
            <a:latin typeface="Arial Black" panose="020B0A04020102020204" pitchFamily="34" charset="0"/>
          </a:endParaRPr>
        </a:p>
      </xdr:txBody>
    </xdr:sp>
    <xdr:clientData/>
  </xdr:oneCellAnchor>
  <xdr:twoCellAnchor>
    <xdr:from>
      <xdr:col>4</xdr:col>
      <xdr:colOff>358140</xdr:colOff>
      <xdr:row>10</xdr:row>
      <xdr:rowOff>129540</xdr:rowOff>
    </xdr:from>
    <xdr:to>
      <xdr:col>6</xdr:col>
      <xdr:colOff>327660</xdr:colOff>
      <xdr:row>12</xdr:row>
      <xdr:rowOff>45720</xdr:rowOff>
    </xdr:to>
    <xdr:sp macro="" textlink="Sheet3!A11">
      <xdr:nvSpPr>
        <xdr:cNvPr id="23" name="TextBox 22">
          <a:extLst>
            <a:ext uri="{FF2B5EF4-FFF2-40B4-BE49-F238E27FC236}">
              <a16:creationId xmlns:a16="http://schemas.microsoft.com/office/drawing/2014/main" id="{C99E8ACB-8092-3BE9-6F94-21098227AD33}"/>
            </a:ext>
          </a:extLst>
        </xdr:cNvPr>
        <xdr:cNvSpPr txBox="1"/>
      </xdr:nvSpPr>
      <xdr:spPr>
        <a:xfrm>
          <a:off x="2796540" y="1958340"/>
          <a:ext cx="11887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2B9030-9FB1-49AB-A1C1-421508F79A57}" type="TxLink">
            <a:rPr lang="en-US" sz="1050" b="1" i="0" u="none" strike="noStrike">
              <a:solidFill>
                <a:srgbClr val="000000"/>
              </a:solidFill>
              <a:latin typeface="Aptos Narrow"/>
            </a:rPr>
            <a:pPr/>
            <a:t>5019265.23</a:t>
          </a:fld>
          <a:endParaRPr lang="en-US" sz="1050" b="1"/>
        </a:p>
      </xdr:txBody>
    </xdr:sp>
    <xdr:clientData/>
  </xdr:twoCellAnchor>
  <xdr:twoCellAnchor>
    <xdr:from>
      <xdr:col>8</xdr:col>
      <xdr:colOff>60960</xdr:colOff>
      <xdr:row>10</xdr:row>
      <xdr:rowOff>137160</xdr:rowOff>
    </xdr:from>
    <xdr:to>
      <xdr:col>10</xdr:col>
      <xdr:colOff>38100</xdr:colOff>
      <xdr:row>12</xdr:row>
      <xdr:rowOff>45720</xdr:rowOff>
    </xdr:to>
    <xdr:sp macro="" textlink="Sheet3!$A$14">
      <xdr:nvSpPr>
        <xdr:cNvPr id="24" name="TextBox 23">
          <a:extLst>
            <a:ext uri="{FF2B5EF4-FFF2-40B4-BE49-F238E27FC236}">
              <a16:creationId xmlns:a16="http://schemas.microsoft.com/office/drawing/2014/main" id="{CE527A5E-D99B-F9C6-D8EA-6006C5D9E724}"/>
            </a:ext>
          </a:extLst>
        </xdr:cNvPr>
        <xdr:cNvSpPr txBox="1"/>
      </xdr:nvSpPr>
      <xdr:spPr>
        <a:xfrm>
          <a:off x="4937760" y="1965960"/>
          <a:ext cx="11963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2C892BF-08E0-4E59-BBE8-C3A29281C20B}" type="TxLink">
            <a:rPr lang="en-US" sz="1100" b="1" i="0" u="none" strike="noStrike">
              <a:solidFill>
                <a:srgbClr val="000000"/>
              </a:solidFill>
              <a:latin typeface="Aptos Narrow"/>
            </a:rPr>
            <a:pPr/>
            <a:t>253135.57</a:t>
          </a:fld>
          <a:endParaRPr lang="en-US" sz="1100" b="1"/>
        </a:p>
      </xdr:txBody>
    </xdr:sp>
    <xdr:clientData/>
  </xdr:twoCellAnchor>
  <xdr:twoCellAnchor>
    <xdr:from>
      <xdr:col>4</xdr:col>
      <xdr:colOff>251460</xdr:colOff>
      <xdr:row>9</xdr:row>
      <xdr:rowOff>60960</xdr:rowOff>
    </xdr:from>
    <xdr:to>
      <xdr:col>6</xdr:col>
      <xdr:colOff>281940</xdr:colOff>
      <xdr:row>12</xdr:row>
      <xdr:rowOff>106680</xdr:rowOff>
    </xdr:to>
    <xdr:sp macro="" textlink="">
      <xdr:nvSpPr>
        <xdr:cNvPr id="25" name="TextBox 24">
          <a:extLst>
            <a:ext uri="{FF2B5EF4-FFF2-40B4-BE49-F238E27FC236}">
              <a16:creationId xmlns:a16="http://schemas.microsoft.com/office/drawing/2014/main" id="{99317AA3-C922-CCA8-61AE-412CC2F9C83B}"/>
            </a:ext>
          </a:extLst>
        </xdr:cNvPr>
        <xdr:cNvSpPr txBox="1"/>
      </xdr:nvSpPr>
      <xdr:spPr>
        <a:xfrm>
          <a:off x="2689860" y="1706880"/>
          <a:ext cx="12496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solidFill>
                <a:schemeClr val="tx1"/>
              </a:solidFill>
            </a:rPr>
            <a:t>TOTAL</a:t>
          </a:r>
          <a:r>
            <a:rPr lang="en-US" sz="1400" b="1" i="1" baseline="0">
              <a:solidFill>
                <a:schemeClr val="tx1"/>
              </a:solidFill>
            </a:rPr>
            <a:t> SALES</a:t>
          </a:r>
        </a:p>
        <a:p>
          <a:endParaRPr lang="en-US" sz="1100" i="1"/>
        </a:p>
      </xdr:txBody>
    </xdr:sp>
    <xdr:clientData/>
  </xdr:twoCellAnchor>
  <xdr:twoCellAnchor>
    <xdr:from>
      <xdr:col>7</xdr:col>
      <xdr:colOff>426720</xdr:colOff>
      <xdr:row>9</xdr:row>
      <xdr:rowOff>68580</xdr:rowOff>
    </xdr:from>
    <xdr:to>
      <xdr:col>9</xdr:col>
      <xdr:colOff>472440</xdr:colOff>
      <xdr:row>13</xdr:row>
      <xdr:rowOff>137160</xdr:rowOff>
    </xdr:to>
    <xdr:sp macro="" textlink="">
      <xdr:nvSpPr>
        <xdr:cNvPr id="28" name="TextBox 27">
          <a:extLst>
            <a:ext uri="{FF2B5EF4-FFF2-40B4-BE49-F238E27FC236}">
              <a16:creationId xmlns:a16="http://schemas.microsoft.com/office/drawing/2014/main" id="{F0114906-B065-531C-4BEB-FB7685DE6641}"/>
            </a:ext>
          </a:extLst>
        </xdr:cNvPr>
        <xdr:cNvSpPr txBox="1"/>
      </xdr:nvSpPr>
      <xdr:spPr>
        <a:xfrm>
          <a:off x="4693920" y="1714500"/>
          <a:ext cx="1264920"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400" b="1" i="1">
              <a:solidFill>
                <a:schemeClr val="tx1"/>
              </a:solidFill>
            </a:rPr>
            <a:t>TOTAL PROFIT</a:t>
          </a:r>
        </a:p>
        <a:p>
          <a:endParaRPr lang="en-US" sz="1100"/>
        </a:p>
      </xdr:txBody>
    </xdr:sp>
    <xdr:clientData/>
  </xdr:twoCellAnchor>
  <xdr:twoCellAnchor editAs="oneCell">
    <xdr:from>
      <xdr:col>3</xdr:col>
      <xdr:colOff>83820</xdr:colOff>
      <xdr:row>8</xdr:row>
      <xdr:rowOff>22860</xdr:rowOff>
    </xdr:from>
    <xdr:to>
      <xdr:col>4</xdr:col>
      <xdr:colOff>388620</xdr:colOff>
      <xdr:row>13</xdr:row>
      <xdr:rowOff>22860</xdr:rowOff>
    </xdr:to>
    <xdr:pic>
      <xdr:nvPicPr>
        <xdr:cNvPr id="34" name="Graphic 33" descr="Database with solid fill">
          <a:extLst>
            <a:ext uri="{FF2B5EF4-FFF2-40B4-BE49-F238E27FC236}">
              <a16:creationId xmlns:a16="http://schemas.microsoft.com/office/drawing/2014/main" id="{DF5B4ED6-E8FB-4484-A9D3-0E25FB30D4E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12620" y="1485900"/>
          <a:ext cx="914400" cy="914400"/>
        </a:xfrm>
        <a:prstGeom prst="rect">
          <a:avLst/>
        </a:prstGeom>
      </xdr:spPr>
    </xdr:pic>
    <xdr:clientData/>
  </xdr:twoCellAnchor>
  <xdr:twoCellAnchor editAs="oneCell">
    <xdr:from>
      <xdr:col>6</xdr:col>
      <xdr:colOff>342900</xdr:colOff>
      <xdr:row>8</xdr:row>
      <xdr:rowOff>45720</xdr:rowOff>
    </xdr:from>
    <xdr:to>
      <xdr:col>8</xdr:col>
      <xdr:colOff>15240</xdr:colOff>
      <xdr:row>13</xdr:row>
      <xdr:rowOff>45720</xdr:rowOff>
    </xdr:to>
    <xdr:pic>
      <xdr:nvPicPr>
        <xdr:cNvPr id="36" name="Graphic 35" descr="Coins with solid fill">
          <a:extLst>
            <a:ext uri="{FF2B5EF4-FFF2-40B4-BE49-F238E27FC236}">
              <a16:creationId xmlns:a16="http://schemas.microsoft.com/office/drawing/2014/main" id="{D69A4817-B062-A392-7C15-E07A8A4033F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00500" y="1508760"/>
          <a:ext cx="891540" cy="914400"/>
        </a:xfrm>
        <a:prstGeom prst="rect">
          <a:avLst/>
        </a:prstGeom>
      </xdr:spPr>
    </xdr:pic>
    <xdr:clientData/>
  </xdr:twoCellAnchor>
  <xdr:twoCellAnchor>
    <xdr:from>
      <xdr:col>3</xdr:col>
      <xdr:colOff>83820</xdr:colOff>
      <xdr:row>15</xdr:row>
      <xdr:rowOff>7620</xdr:rowOff>
    </xdr:from>
    <xdr:to>
      <xdr:col>9</xdr:col>
      <xdr:colOff>297180</xdr:colOff>
      <xdr:row>30</xdr:row>
      <xdr:rowOff>7620</xdr:rowOff>
    </xdr:to>
    <xdr:graphicFrame macro="">
      <xdr:nvGraphicFramePr>
        <xdr:cNvPr id="14" name="Chart 13">
          <a:extLst>
            <a:ext uri="{FF2B5EF4-FFF2-40B4-BE49-F238E27FC236}">
              <a16:creationId xmlns:a16="http://schemas.microsoft.com/office/drawing/2014/main" id="{C0CE1CA3-B3E4-4BD4-BD0C-16C3F88BB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334099</xdr:colOff>
      <xdr:row>8</xdr:row>
      <xdr:rowOff>13200</xdr:rowOff>
    </xdr:from>
    <xdr:to>
      <xdr:col>43</xdr:col>
      <xdr:colOff>527327</xdr:colOff>
      <xdr:row>31</xdr:row>
      <xdr:rowOff>13200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589AB87D-A7DF-43E6-B2B8-8C10217582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3580465" y="1472806"/>
              <a:ext cx="3251961" cy="41963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238835</xdr:colOff>
      <xdr:row>7</xdr:row>
      <xdr:rowOff>22746</xdr:rowOff>
    </xdr:from>
    <xdr:to>
      <xdr:col>22</xdr:col>
      <xdr:colOff>466297</xdr:colOff>
      <xdr:row>18</xdr:row>
      <xdr:rowOff>136478</xdr:rowOff>
    </xdr:to>
    <xdr:graphicFrame macro="">
      <xdr:nvGraphicFramePr>
        <xdr:cNvPr id="16" name="Chart 15">
          <a:extLst>
            <a:ext uri="{FF2B5EF4-FFF2-40B4-BE49-F238E27FC236}">
              <a16:creationId xmlns:a16="http://schemas.microsoft.com/office/drawing/2014/main" id="{439DF696-DF8C-4DEE-A7D0-DDF3FB0AD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477165</xdr:colOff>
      <xdr:row>31</xdr:row>
      <xdr:rowOff>153411</xdr:rowOff>
    </xdr:from>
    <xdr:to>
      <xdr:col>11</xdr:col>
      <xdr:colOff>117016</xdr:colOff>
      <xdr:row>47</xdr:row>
      <xdr:rowOff>47641</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C67DBEC-8B0D-4090-8CBA-008FBEF1B5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2915565" y="5822691"/>
              <a:ext cx="3907051" cy="28203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306694</xdr:colOff>
      <xdr:row>31</xdr:row>
      <xdr:rowOff>64319</xdr:rowOff>
    </xdr:from>
    <xdr:to>
      <xdr:col>23</xdr:col>
      <xdr:colOff>230495</xdr:colOff>
      <xdr:row>46</xdr:row>
      <xdr:rowOff>119291</xdr:rowOff>
    </xdr:to>
    <xdr:graphicFrame macro="">
      <xdr:nvGraphicFramePr>
        <xdr:cNvPr id="19" name="Chart 18">
          <a:extLst>
            <a:ext uri="{FF2B5EF4-FFF2-40B4-BE49-F238E27FC236}">
              <a16:creationId xmlns:a16="http://schemas.microsoft.com/office/drawing/2014/main" id="{0939C4E8-4AFB-4674-8562-E611B5DE3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416237</xdr:colOff>
      <xdr:row>9</xdr:row>
      <xdr:rowOff>69265</xdr:rowOff>
    </xdr:from>
    <xdr:to>
      <xdr:col>14</xdr:col>
      <xdr:colOff>400150</xdr:colOff>
      <xdr:row>29</xdr:row>
      <xdr:rowOff>171718</xdr:rowOff>
    </xdr:to>
    <xdr:graphicFrame macro="">
      <xdr:nvGraphicFramePr>
        <xdr:cNvPr id="20" name="Chart 19">
          <a:extLst>
            <a:ext uri="{FF2B5EF4-FFF2-40B4-BE49-F238E27FC236}">
              <a16:creationId xmlns:a16="http://schemas.microsoft.com/office/drawing/2014/main" id="{3EAEBC98-A5BA-466F-8588-A6CDF93D5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128531</xdr:colOff>
      <xdr:row>7</xdr:row>
      <xdr:rowOff>45903</xdr:rowOff>
    </xdr:from>
    <xdr:to>
      <xdr:col>2</xdr:col>
      <xdr:colOff>422314</xdr:colOff>
      <xdr:row>47</xdr:row>
      <xdr:rowOff>165252</xdr:rowOff>
    </xdr:to>
    <xdr:sp macro="" textlink="">
      <xdr:nvSpPr>
        <xdr:cNvPr id="33" name="Rectangle 32">
          <a:extLst>
            <a:ext uri="{FF2B5EF4-FFF2-40B4-BE49-F238E27FC236}">
              <a16:creationId xmlns:a16="http://schemas.microsoft.com/office/drawing/2014/main" id="{4CD794E7-A6AE-635C-6DA1-CF1B0D1FBFE0}"/>
            </a:ext>
          </a:extLst>
        </xdr:cNvPr>
        <xdr:cNvSpPr/>
      </xdr:nvSpPr>
      <xdr:spPr>
        <a:xfrm>
          <a:off x="128531" y="1331204"/>
          <a:ext cx="1505638" cy="7463928"/>
        </a:xfrm>
        <a:prstGeom prst="rect">
          <a:avLst/>
        </a:prstGeom>
        <a:solidFill>
          <a:schemeClr val="accent4">
            <a:lumMod val="50000"/>
          </a:schemeClr>
        </a:solidFill>
        <a:effectLst>
          <a:glow rad="1397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137710</xdr:colOff>
      <xdr:row>7</xdr:row>
      <xdr:rowOff>45904</xdr:rowOff>
    </xdr:from>
    <xdr:to>
      <xdr:col>2</xdr:col>
      <xdr:colOff>431494</xdr:colOff>
      <xdr:row>16</xdr:row>
      <xdr:rowOff>82628</xdr:rowOff>
    </xdr:to>
    <mc:AlternateContent xmlns:mc="http://schemas.openxmlformats.org/markup-compatibility/2006" xmlns:a14="http://schemas.microsoft.com/office/drawing/2010/main">
      <mc:Choice Requires="a14">
        <xdr:graphicFrame macro="">
          <xdr:nvGraphicFramePr>
            <xdr:cNvPr id="35" name="Product_Category 1">
              <a:extLst>
                <a:ext uri="{FF2B5EF4-FFF2-40B4-BE49-F238E27FC236}">
                  <a16:creationId xmlns:a16="http://schemas.microsoft.com/office/drawing/2014/main" id="{1AECA11B-91F0-4844-AE9A-E2592A829B93}"/>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37710" y="1331205"/>
              <a:ext cx="1505639" cy="1689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128531</xdr:colOff>
      <xdr:row>16</xdr:row>
      <xdr:rowOff>45904</xdr:rowOff>
    </xdr:from>
    <xdr:to>
      <xdr:col>2</xdr:col>
      <xdr:colOff>413134</xdr:colOff>
      <xdr:row>35</xdr:row>
      <xdr:rowOff>174435</xdr:rowOff>
    </xdr:to>
    <mc:AlternateContent xmlns:mc="http://schemas.openxmlformats.org/markup-compatibility/2006" xmlns:a14="http://schemas.microsoft.com/office/drawing/2010/main">
      <mc:Choice Requires="a14">
        <xdr:graphicFrame macro="">
          <xdr:nvGraphicFramePr>
            <xdr:cNvPr id="37" name="Months (Sale_Date) 2">
              <a:extLst>
                <a:ext uri="{FF2B5EF4-FFF2-40B4-BE49-F238E27FC236}">
                  <a16:creationId xmlns:a16="http://schemas.microsoft.com/office/drawing/2014/main" id="{DAC10BC7-12AF-40EB-8B61-238B75FD69F5}"/>
                </a:ext>
              </a:extLst>
            </xdr:cNvPr>
            <xdr:cNvGraphicFramePr/>
          </xdr:nvGraphicFramePr>
          <xdr:xfrm>
            <a:off x="0" y="0"/>
            <a:ext cx="0" cy="0"/>
          </xdr:xfrm>
          <a:graphic>
            <a:graphicData uri="http://schemas.microsoft.com/office/drawing/2010/slicer">
              <sle:slicer xmlns:sle="http://schemas.microsoft.com/office/drawing/2010/slicer" name="Months (Sale_Date) 2"/>
            </a:graphicData>
          </a:graphic>
        </xdr:graphicFrame>
      </mc:Choice>
      <mc:Fallback xmlns="">
        <xdr:sp macro="" textlink="">
          <xdr:nvSpPr>
            <xdr:cNvPr id="0" name=""/>
            <xdr:cNvSpPr>
              <a:spLocks noTextEdit="1"/>
            </xdr:cNvSpPr>
          </xdr:nvSpPr>
          <xdr:spPr>
            <a:xfrm>
              <a:off x="128531" y="2983735"/>
              <a:ext cx="1496458" cy="3617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128529</xdr:colOff>
      <xdr:row>36</xdr:row>
      <xdr:rowOff>110168</xdr:rowOff>
    </xdr:from>
    <xdr:to>
      <xdr:col>2</xdr:col>
      <xdr:colOff>385591</xdr:colOff>
      <xdr:row>47</xdr:row>
      <xdr:rowOff>174433</xdr:rowOff>
    </xdr:to>
    <mc:AlternateContent xmlns:mc="http://schemas.openxmlformats.org/markup-compatibility/2006" xmlns:a14="http://schemas.microsoft.com/office/drawing/2010/main">
      <mc:Choice Requires="a14">
        <xdr:graphicFrame macro="">
          <xdr:nvGraphicFramePr>
            <xdr:cNvPr id="38" name="Years (Sale_Date) 1">
              <a:extLst>
                <a:ext uri="{FF2B5EF4-FFF2-40B4-BE49-F238E27FC236}">
                  <a16:creationId xmlns:a16="http://schemas.microsoft.com/office/drawing/2014/main" id="{DB8CBB87-F1F7-45BD-AE4C-52ED44285E51}"/>
                </a:ext>
              </a:extLst>
            </xdr:cNvPr>
            <xdr:cNvGraphicFramePr/>
          </xdr:nvGraphicFramePr>
          <xdr:xfrm>
            <a:off x="0" y="0"/>
            <a:ext cx="0" cy="0"/>
          </xdr:xfrm>
          <a:graphic>
            <a:graphicData uri="http://schemas.microsoft.com/office/drawing/2010/slicer">
              <sle:slicer xmlns:sle="http://schemas.microsoft.com/office/drawing/2010/slicer" name="Years (Sale_Date) 1"/>
            </a:graphicData>
          </a:graphic>
        </xdr:graphicFrame>
      </mc:Choice>
      <mc:Fallback xmlns="">
        <xdr:sp macro="" textlink="">
          <xdr:nvSpPr>
            <xdr:cNvPr id="0" name=""/>
            <xdr:cNvSpPr>
              <a:spLocks noTextEdit="1"/>
            </xdr:cNvSpPr>
          </xdr:nvSpPr>
          <xdr:spPr>
            <a:xfrm>
              <a:off x="128529" y="6720288"/>
              <a:ext cx="1468917" cy="208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375634</xdr:colOff>
      <xdr:row>19</xdr:row>
      <xdr:rowOff>21466</xdr:rowOff>
    </xdr:from>
    <xdr:to>
      <xdr:col>22</xdr:col>
      <xdr:colOff>311240</xdr:colOff>
      <xdr:row>30</xdr:row>
      <xdr:rowOff>171718</xdr:rowOff>
    </xdr:to>
    <xdr:graphicFrame macro="">
      <xdr:nvGraphicFramePr>
        <xdr:cNvPr id="27" name="Chart 26">
          <a:extLst>
            <a:ext uri="{FF2B5EF4-FFF2-40B4-BE49-F238E27FC236}">
              <a16:creationId xmlns:a16="http://schemas.microsoft.com/office/drawing/2014/main" id="{FD10C31D-080A-4179-9C72-0E30CCFC1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45720</xdr:colOff>
      <xdr:row>9</xdr:row>
      <xdr:rowOff>45720</xdr:rowOff>
    </xdr:from>
    <xdr:to>
      <xdr:col>10</xdr:col>
      <xdr:colOff>1059180</xdr:colOff>
      <xdr:row>24</xdr:row>
      <xdr:rowOff>45720</xdr:rowOff>
    </xdr:to>
    <xdr:graphicFrame macro="">
      <xdr:nvGraphicFramePr>
        <xdr:cNvPr id="4" name="Chart 3">
          <a:extLst>
            <a:ext uri="{FF2B5EF4-FFF2-40B4-BE49-F238E27FC236}">
              <a16:creationId xmlns:a16="http://schemas.microsoft.com/office/drawing/2014/main" id="{1D80BA19-145B-BDB0-A170-A8ECC36B5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9</xdr:row>
      <xdr:rowOff>167640</xdr:rowOff>
    </xdr:from>
    <xdr:to>
      <xdr:col>13</xdr:col>
      <xdr:colOff>220980</xdr:colOff>
      <xdr:row>24</xdr:row>
      <xdr:rowOff>167640</xdr:rowOff>
    </xdr:to>
    <xdr:graphicFrame macro="">
      <xdr:nvGraphicFramePr>
        <xdr:cNvPr id="3" name="Chart 2">
          <a:extLst>
            <a:ext uri="{FF2B5EF4-FFF2-40B4-BE49-F238E27FC236}">
              <a16:creationId xmlns:a16="http://schemas.microsoft.com/office/drawing/2014/main" id="{DE244DDC-7485-09B0-DDAE-26BF78C72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838200</xdr:colOff>
      <xdr:row>9</xdr:row>
      <xdr:rowOff>45720</xdr:rowOff>
    </xdr:from>
    <xdr:to>
      <xdr:col>10</xdr:col>
      <xdr:colOff>434340</xdr:colOff>
      <xdr:row>24</xdr:row>
      <xdr:rowOff>45720</xdr:rowOff>
    </xdr:to>
    <xdr:graphicFrame macro="">
      <xdr:nvGraphicFramePr>
        <xdr:cNvPr id="2" name="Chart 1">
          <a:extLst>
            <a:ext uri="{FF2B5EF4-FFF2-40B4-BE49-F238E27FC236}">
              <a16:creationId xmlns:a16="http://schemas.microsoft.com/office/drawing/2014/main" id="{56FAC78D-5F5B-21AD-1284-E018606FB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2.677215509262" createdVersion="8" refreshedVersion="8" minRefreshableVersion="3" recordCount="1000" xr:uid="{F63BE64B-91AB-4227-8A61-0AB0AD5A40AE}">
  <cacheSource type="worksheet">
    <worksheetSource name="Table3"/>
  </cacheSource>
  <cacheFields count="18">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7"/>
    </cacheField>
    <cacheField name="Customer Name" numFmtId="0">
      <sharedItems count="5">
        <s v="Bob"/>
        <s v="David"/>
        <s v="Charlie"/>
        <s v="Eve"/>
        <s v="Alice"/>
      </sharedItems>
    </cacheField>
    <cacheField name="States" numFmtId="0">
      <sharedItems count="7">
        <s v="California"/>
        <s v="Virginia"/>
        <s v="Florida"/>
        <s v="Ohio"/>
        <s v="Aleska"/>
        <s v="Texas"/>
        <s v="Illinois"/>
      </sharedItems>
    </cacheField>
    <cacheField name="Sales_Amount" numFmtId="0">
      <sharedItems containsSemiMixedTypes="0" containsString="0" containsNumber="1" minValue="100.12" maxValue="9989.0400000000009"/>
    </cacheField>
    <cacheField name="Quantity"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Profit" numFmtId="0">
      <sharedItems containsSemiMixedTypes="0" containsString="0" containsNumber="1" minValue="10.309999999999945" maxValue="499.92999999999938"/>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8060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x v="0"/>
    <x v="0"/>
    <n v="114.47000000000003"/>
  </r>
  <r>
    <n v="1093"/>
    <x v="1"/>
    <x v="0"/>
    <x v="1"/>
    <n v="4384.0200000000004"/>
    <n v="17"/>
    <x v="0"/>
    <n v="3816.39"/>
    <n v="4209.4399999999996"/>
    <x v="0"/>
    <n v="0.11"/>
    <x v="0"/>
    <x v="1"/>
    <x v="1"/>
    <n v="393.04999999999973"/>
  </r>
  <r>
    <n v="1015"/>
    <x v="2"/>
    <x v="1"/>
    <x v="2"/>
    <n v="4631.2299999999996"/>
    <n v="30"/>
    <x v="1"/>
    <n v="261.56"/>
    <n v="371.4"/>
    <x v="0"/>
    <n v="0.2"/>
    <x v="1"/>
    <x v="1"/>
    <x v="2"/>
    <n v="109.83999999999997"/>
  </r>
  <r>
    <n v="1072"/>
    <x v="3"/>
    <x v="0"/>
    <x v="3"/>
    <n v="2167.94"/>
    <n v="39"/>
    <x v="2"/>
    <n v="4330.03"/>
    <n v="4467.75"/>
    <x v="1"/>
    <n v="0.02"/>
    <x v="2"/>
    <x v="1"/>
    <x v="3"/>
    <n v="137.72000000000025"/>
  </r>
  <r>
    <n v="1061"/>
    <x v="4"/>
    <x v="2"/>
    <x v="4"/>
    <n v="3750.2"/>
    <n v="13"/>
    <x v="3"/>
    <n v="637.37"/>
    <n v="692.71"/>
    <x v="1"/>
    <n v="0.08"/>
    <x v="2"/>
    <x v="0"/>
    <x v="4"/>
    <n v="55.340000000000032"/>
  </r>
  <r>
    <n v="1021"/>
    <x v="5"/>
    <x v="2"/>
    <x v="5"/>
    <n v="3761.15"/>
    <n v="32"/>
    <x v="1"/>
    <n v="900.79"/>
    <n v="1106.51"/>
    <x v="1"/>
    <n v="0.21"/>
    <x v="0"/>
    <x v="0"/>
    <x v="5"/>
    <n v="205.72000000000003"/>
  </r>
  <r>
    <n v="1083"/>
    <x v="6"/>
    <x v="0"/>
    <x v="6"/>
    <n v="618.30999999999995"/>
    <n v="29"/>
    <x v="0"/>
    <n v="2408.81"/>
    <n v="2624.09"/>
    <x v="0"/>
    <n v="0.14000000000000001"/>
    <x v="0"/>
    <x v="0"/>
    <x v="1"/>
    <n v="215.2800000000002"/>
  </r>
  <r>
    <n v="1087"/>
    <x v="7"/>
    <x v="3"/>
    <x v="0"/>
    <n v="7698.92"/>
    <n v="46"/>
    <x v="0"/>
    <n v="3702.51"/>
    <n v="3964.65"/>
    <x v="1"/>
    <n v="0.12"/>
    <x v="1"/>
    <x v="0"/>
    <x v="6"/>
    <n v="262.13999999999987"/>
  </r>
  <r>
    <n v="1075"/>
    <x v="8"/>
    <x v="1"/>
    <x v="1"/>
    <n v="4223.3900000000003"/>
    <n v="30"/>
    <x v="0"/>
    <n v="738.06"/>
    <n v="1095.44999999999"/>
    <x v="1"/>
    <n v="0.05"/>
    <x v="1"/>
    <x v="0"/>
    <x v="2"/>
    <n v="357.3899999999901"/>
  </r>
  <r>
    <n v="1075"/>
    <x v="9"/>
    <x v="2"/>
    <x v="2"/>
    <n v="8239.58"/>
    <n v="18"/>
    <x v="2"/>
    <n v="2228.35"/>
    <n v="2682.34"/>
    <x v="1"/>
    <n v="0.13"/>
    <x v="1"/>
    <x v="0"/>
    <x v="5"/>
    <n v="453.99000000000024"/>
  </r>
  <r>
    <n v="1088"/>
    <x v="10"/>
    <x v="3"/>
    <x v="3"/>
    <n v="8518.4500000000007"/>
    <n v="13"/>
    <x v="0"/>
    <n v="2440.11"/>
    <n v="2517.6"/>
    <x v="1"/>
    <n v="0.23"/>
    <x v="1"/>
    <x v="1"/>
    <x v="7"/>
    <n v="77.489999999999782"/>
  </r>
  <r>
    <n v="1100"/>
    <x v="11"/>
    <x v="0"/>
    <x v="4"/>
    <n v="2198.7399999999998"/>
    <n v="43"/>
    <x v="1"/>
    <n v="1100.81"/>
    <n v="1137.44"/>
    <x v="0"/>
    <n v="0.08"/>
    <x v="1"/>
    <x v="0"/>
    <x v="1"/>
    <n v="36.630000000000109"/>
  </r>
  <r>
    <n v="1024"/>
    <x v="12"/>
    <x v="3"/>
    <x v="5"/>
    <n v="6607.8"/>
    <n v="21"/>
    <x v="1"/>
    <n v="622.01"/>
    <n v="641.09"/>
    <x v="0"/>
    <n v="0"/>
    <x v="1"/>
    <x v="1"/>
    <x v="8"/>
    <n v="19.080000000000041"/>
  </r>
  <r>
    <n v="1003"/>
    <x v="13"/>
    <x v="4"/>
    <x v="6"/>
    <n v="4775.59"/>
    <n v="30"/>
    <x v="0"/>
    <n v="4190.28"/>
    <n v="4270.6499999999996"/>
    <x v="1"/>
    <n v="0.2"/>
    <x v="0"/>
    <x v="0"/>
    <x v="9"/>
    <n v="80.369999999999891"/>
  </r>
  <r>
    <n v="1022"/>
    <x v="14"/>
    <x v="2"/>
    <x v="0"/>
    <n v="8813.5499999999993"/>
    <n v="21"/>
    <x v="1"/>
    <n v="2537.1999999999998"/>
    <n v="2869.6"/>
    <x v="1"/>
    <n v="0.28999999999999998"/>
    <x v="1"/>
    <x v="1"/>
    <x v="10"/>
    <n v="332.40000000000009"/>
  </r>
  <r>
    <n v="1053"/>
    <x v="15"/>
    <x v="0"/>
    <x v="1"/>
    <n v="2235.83"/>
    <n v="48"/>
    <x v="0"/>
    <n v="121.19"/>
    <n v="487.65"/>
    <x v="1"/>
    <n v="0.18"/>
    <x v="0"/>
    <x v="1"/>
    <x v="0"/>
    <n v="366.46"/>
  </r>
  <r>
    <n v="1002"/>
    <x v="16"/>
    <x v="1"/>
    <x v="2"/>
    <n v="6810.35"/>
    <n v="17"/>
    <x v="0"/>
    <n v="4024.76"/>
    <n v="4420.1499999999996"/>
    <x v="0"/>
    <n v="0.04"/>
    <x v="0"/>
    <x v="0"/>
    <x v="11"/>
    <n v="395.38999999999942"/>
  </r>
  <r>
    <n v="1088"/>
    <x v="17"/>
    <x v="0"/>
    <x v="3"/>
    <n v="6116.75"/>
    <n v="40"/>
    <x v="3"/>
    <n v="4904.93"/>
    <n v="5034.3500000000004"/>
    <x v="1"/>
    <n v="0.1"/>
    <x v="2"/>
    <x v="1"/>
    <x v="12"/>
    <n v="129.42000000000007"/>
  </r>
  <r>
    <n v="1030"/>
    <x v="18"/>
    <x v="1"/>
    <x v="4"/>
    <n v="3023.48"/>
    <n v="19"/>
    <x v="2"/>
    <n v="3049.33"/>
    <n v="3209.22"/>
    <x v="0"/>
    <n v="0.26"/>
    <x v="0"/>
    <x v="0"/>
    <x v="13"/>
    <n v="159.88999999999987"/>
  </r>
  <r>
    <n v="1038"/>
    <x v="19"/>
    <x v="0"/>
    <x v="5"/>
    <n v="1452.35"/>
    <n v="15"/>
    <x v="2"/>
    <n v="2543.36"/>
    <n v="2790.1"/>
    <x v="0"/>
    <n v="7.0000000000000007E-2"/>
    <x v="0"/>
    <x v="0"/>
    <x v="3"/>
    <n v="246.73999999999978"/>
  </r>
  <r>
    <n v="1002"/>
    <x v="20"/>
    <x v="3"/>
    <x v="6"/>
    <n v="6551.23"/>
    <n v="9"/>
    <x v="3"/>
    <n v="4398.16"/>
    <n v="4439.12"/>
    <x v="1"/>
    <n v="0.18"/>
    <x v="1"/>
    <x v="0"/>
    <x v="7"/>
    <n v="40.960000000000036"/>
  </r>
  <r>
    <n v="1064"/>
    <x v="21"/>
    <x v="3"/>
    <x v="0"/>
    <n v="7412.11"/>
    <n v="10"/>
    <x v="3"/>
    <n v="4764.96"/>
    <n v="5074.42"/>
    <x v="1"/>
    <n v="0.12"/>
    <x v="0"/>
    <x v="0"/>
    <x v="14"/>
    <n v="309.46000000000004"/>
  </r>
  <r>
    <n v="1060"/>
    <x v="22"/>
    <x v="3"/>
    <x v="1"/>
    <n v="3224.71"/>
    <n v="44"/>
    <x v="2"/>
    <n v="3784.96"/>
    <n v="4276.99"/>
    <x v="1"/>
    <n v="0.06"/>
    <x v="1"/>
    <x v="1"/>
    <x v="14"/>
    <n v="492.02999999999975"/>
  </r>
  <r>
    <n v="1021"/>
    <x v="23"/>
    <x v="4"/>
    <x v="2"/>
    <n v="6483.84"/>
    <n v="31"/>
    <x v="0"/>
    <n v="2254.9899999999998"/>
    <n v="2441.79"/>
    <x v="0"/>
    <n v="0.24"/>
    <x v="1"/>
    <x v="0"/>
    <x v="9"/>
    <n v="186.80000000000018"/>
  </r>
  <r>
    <n v="1033"/>
    <x v="24"/>
    <x v="1"/>
    <x v="3"/>
    <n v="4011.8"/>
    <n v="23"/>
    <x v="0"/>
    <n v="2981.5"/>
    <n v="3360.4"/>
    <x v="0"/>
    <n v="0.22"/>
    <x v="1"/>
    <x v="1"/>
    <x v="2"/>
    <n v="378.90000000000009"/>
  </r>
  <r>
    <n v="1076"/>
    <x v="22"/>
    <x v="3"/>
    <x v="4"/>
    <n v="7160.75"/>
    <n v="30"/>
    <x v="2"/>
    <n v="3519.63"/>
    <n v="3774.65"/>
    <x v="1"/>
    <n v="0.2"/>
    <x v="2"/>
    <x v="1"/>
    <x v="14"/>
    <n v="255.01999999999998"/>
  </r>
  <r>
    <n v="1058"/>
    <x v="25"/>
    <x v="4"/>
    <x v="5"/>
    <n v="2072.23"/>
    <n v="33"/>
    <x v="0"/>
    <n v="1011.65"/>
    <n v="1084.28"/>
    <x v="0"/>
    <n v="7.0000000000000007E-2"/>
    <x v="1"/>
    <x v="1"/>
    <x v="15"/>
    <n v="72.63"/>
  </r>
  <r>
    <n v="1022"/>
    <x v="26"/>
    <x v="1"/>
    <x v="6"/>
    <n v="8913.1299999999992"/>
    <n v="9"/>
    <x v="3"/>
    <n v="2263.65"/>
    <n v="2558.9499999999998"/>
    <x v="1"/>
    <n v="0.03"/>
    <x v="0"/>
    <x v="0"/>
    <x v="16"/>
    <n v="295.29999999999973"/>
  </r>
  <r>
    <n v="1089"/>
    <x v="27"/>
    <x v="0"/>
    <x v="0"/>
    <n v="2945.36"/>
    <n v="47"/>
    <x v="0"/>
    <n v="4157.62"/>
    <n v="4314.5599999999904"/>
    <x v="1"/>
    <n v="0.17"/>
    <x v="1"/>
    <x v="1"/>
    <x v="1"/>
    <n v="156.9399999999905"/>
  </r>
  <r>
    <n v="1049"/>
    <x v="28"/>
    <x v="4"/>
    <x v="1"/>
    <n v="3741.08"/>
    <n v="1"/>
    <x v="0"/>
    <n v="3290.89"/>
    <n v="3317.75"/>
    <x v="0"/>
    <n v="0.17"/>
    <x v="1"/>
    <x v="0"/>
    <x v="17"/>
    <n v="26.860000000000127"/>
  </r>
  <r>
    <n v="1091"/>
    <x v="29"/>
    <x v="2"/>
    <x v="2"/>
    <n v="675.11"/>
    <n v="44"/>
    <x v="1"/>
    <n v="2085.46"/>
    <n v="2406.58"/>
    <x v="0"/>
    <n v="0.06"/>
    <x v="1"/>
    <x v="1"/>
    <x v="10"/>
    <n v="321.11999999999989"/>
  </r>
  <r>
    <n v="1059"/>
    <x v="30"/>
    <x v="4"/>
    <x v="3"/>
    <n v="1203.97"/>
    <n v="35"/>
    <x v="1"/>
    <n v="3333.64"/>
    <n v="3764.52"/>
    <x v="0"/>
    <n v="0.02"/>
    <x v="2"/>
    <x v="0"/>
    <x v="15"/>
    <n v="430.88000000000011"/>
  </r>
  <r>
    <n v="1042"/>
    <x v="31"/>
    <x v="4"/>
    <x v="4"/>
    <n v="5207.03"/>
    <n v="11"/>
    <x v="1"/>
    <n v="635.20000000000005"/>
    <n v="814.14"/>
    <x v="0"/>
    <n v="0.02"/>
    <x v="0"/>
    <x v="0"/>
    <x v="15"/>
    <n v="178.93999999999994"/>
  </r>
  <r>
    <n v="1092"/>
    <x v="32"/>
    <x v="1"/>
    <x v="5"/>
    <n v="2749.17"/>
    <n v="34"/>
    <x v="0"/>
    <n v="2037.41"/>
    <n v="2238.65"/>
    <x v="1"/>
    <n v="0.3"/>
    <x v="2"/>
    <x v="0"/>
    <x v="13"/>
    <n v="201.24"/>
  </r>
  <r>
    <n v="1060"/>
    <x v="14"/>
    <x v="0"/>
    <x v="6"/>
    <n v="8371.25"/>
    <n v="16"/>
    <x v="2"/>
    <n v="3975.99"/>
    <n v="4422.59"/>
    <x v="1"/>
    <n v="0.24"/>
    <x v="0"/>
    <x v="0"/>
    <x v="12"/>
    <n v="446.60000000000036"/>
  </r>
  <r>
    <n v="1080"/>
    <x v="33"/>
    <x v="2"/>
    <x v="0"/>
    <n v="245.46"/>
    <n v="9"/>
    <x v="3"/>
    <n v="1141.52"/>
    <n v="1550.19"/>
    <x v="1"/>
    <n v="0.28000000000000003"/>
    <x v="2"/>
    <x v="1"/>
    <x v="10"/>
    <n v="408.67000000000007"/>
  </r>
  <r>
    <n v="1015"/>
    <x v="34"/>
    <x v="3"/>
    <x v="1"/>
    <n v="3853.03"/>
    <n v="32"/>
    <x v="0"/>
    <n v="970.51"/>
    <n v="1330.84"/>
    <x v="0"/>
    <n v="0.06"/>
    <x v="0"/>
    <x v="1"/>
    <x v="14"/>
    <n v="360.32999999999993"/>
  </r>
  <r>
    <n v="1062"/>
    <x v="7"/>
    <x v="3"/>
    <x v="2"/>
    <n v="3439.72"/>
    <n v="15"/>
    <x v="2"/>
    <n v="4756.55"/>
    <n v="4888.46"/>
    <x v="1"/>
    <n v="0.28999999999999998"/>
    <x v="2"/>
    <x v="0"/>
    <x v="14"/>
    <n v="131.90999999999985"/>
  </r>
  <r>
    <n v="1062"/>
    <x v="35"/>
    <x v="4"/>
    <x v="3"/>
    <n v="291.33999999999997"/>
    <n v="12"/>
    <x v="0"/>
    <n v="1088.99"/>
    <n v="1545"/>
    <x v="0"/>
    <n v="0.04"/>
    <x v="1"/>
    <x v="1"/>
    <x v="18"/>
    <n v="456.01"/>
  </r>
  <r>
    <n v="1047"/>
    <x v="36"/>
    <x v="1"/>
    <x v="4"/>
    <n v="1331.25"/>
    <n v="33"/>
    <x v="3"/>
    <n v="1341.55"/>
    <n v="1427.21"/>
    <x v="0"/>
    <n v="0.15"/>
    <x v="2"/>
    <x v="0"/>
    <x v="11"/>
    <n v="85.660000000000082"/>
  </r>
  <r>
    <n v="1062"/>
    <x v="37"/>
    <x v="1"/>
    <x v="5"/>
    <n v="4195.0600000000004"/>
    <n v="45"/>
    <x v="0"/>
    <n v="4849.6000000000004"/>
    <n v="5166.72"/>
    <x v="0"/>
    <n v="0.25"/>
    <x v="2"/>
    <x v="0"/>
    <x v="13"/>
    <n v="317.11999999999989"/>
  </r>
  <r>
    <n v="1051"/>
    <x v="21"/>
    <x v="3"/>
    <x v="6"/>
    <n v="4979.3599999999997"/>
    <n v="14"/>
    <x v="3"/>
    <n v="3686.81"/>
    <n v="3710.92"/>
    <x v="1"/>
    <n v="0.1"/>
    <x v="1"/>
    <x v="1"/>
    <x v="7"/>
    <n v="24.110000000000127"/>
  </r>
  <r>
    <n v="1055"/>
    <x v="38"/>
    <x v="2"/>
    <x v="0"/>
    <n v="4102.47"/>
    <n v="8"/>
    <x v="0"/>
    <n v="3513"/>
    <n v="3838.42"/>
    <x v="0"/>
    <n v="0.13"/>
    <x v="1"/>
    <x v="0"/>
    <x v="5"/>
    <n v="325.42000000000007"/>
  </r>
  <r>
    <n v="1064"/>
    <x v="39"/>
    <x v="0"/>
    <x v="1"/>
    <n v="5356.28"/>
    <n v="8"/>
    <x v="3"/>
    <n v="4271.99"/>
    <n v="4417.79"/>
    <x v="0"/>
    <n v="0.04"/>
    <x v="0"/>
    <x v="0"/>
    <x v="3"/>
    <n v="145.80000000000018"/>
  </r>
  <r>
    <n v="1003"/>
    <x v="40"/>
    <x v="2"/>
    <x v="2"/>
    <n v="5991.8"/>
    <n v="27"/>
    <x v="0"/>
    <n v="623.32000000000005"/>
    <n v="853.66"/>
    <x v="0"/>
    <n v="0.04"/>
    <x v="0"/>
    <x v="0"/>
    <x v="10"/>
    <n v="230.33999999999992"/>
  </r>
  <r>
    <n v="1051"/>
    <x v="41"/>
    <x v="0"/>
    <x v="3"/>
    <n v="198.25"/>
    <n v="12"/>
    <x v="3"/>
    <n v="3544.48"/>
    <n v="3723.66"/>
    <x v="0"/>
    <n v="0.19"/>
    <x v="0"/>
    <x v="0"/>
    <x v="12"/>
    <n v="179.17999999999984"/>
  </r>
  <r>
    <n v="1007"/>
    <x v="42"/>
    <x v="3"/>
    <x v="4"/>
    <n v="4694.54"/>
    <n v="1"/>
    <x v="1"/>
    <n v="2543.2600000000002"/>
    <n v="2637.91"/>
    <x v="0"/>
    <n v="0.2"/>
    <x v="2"/>
    <x v="0"/>
    <x v="8"/>
    <n v="94.649999999999636"/>
  </r>
  <r>
    <n v="1021"/>
    <x v="43"/>
    <x v="0"/>
    <x v="5"/>
    <n v="9638.64"/>
    <n v="43"/>
    <x v="0"/>
    <n v="4154.3"/>
    <n v="4469.07"/>
    <x v="0"/>
    <n v="0.23"/>
    <x v="0"/>
    <x v="1"/>
    <x v="1"/>
    <n v="314.76999999999953"/>
  </r>
  <r>
    <n v="1073"/>
    <x v="38"/>
    <x v="1"/>
    <x v="6"/>
    <n v="5238.42"/>
    <n v="40"/>
    <x v="0"/>
    <n v="2565.3000000000002"/>
    <n v="3007.47"/>
    <x v="0"/>
    <n v="0.17"/>
    <x v="2"/>
    <x v="1"/>
    <x v="13"/>
    <n v="442.16999999999962"/>
  </r>
  <r>
    <n v="1039"/>
    <x v="44"/>
    <x v="4"/>
    <x v="0"/>
    <n v="6807.67"/>
    <n v="42"/>
    <x v="2"/>
    <n v="3120.19"/>
    <n v="3600.14"/>
    <x v="0"/>
    <n v="0.19"/>
    <x v="2"/>
    <x v="1"/>
    <x v="18"/>
    <n v="479.94999999999982"/>
  </r>
  <r>
    <n v="1018"/>
    <x v="45"/>
    <x v="4"/>
    <x v="1"/>
    <n v="3187.45"/>
    <n v="11"/>
    <x v="2"/>
    <n v="2414.8200000000002"/>
    <n v="2519.0700000000002"/>
    <x v="0"/>
    <n v="0"/>
    <x v="0"/>
    <x v="0"/>
    <x v="18"/>
    <n v="104.25"/>
  </r>
  <r>
    <n v="1004"/>
    <x v="46"/>
    <x v="3"/>
    <x v="2"/>
    <n v="7762.51"/>
    <n v="39"/>
    <x v="3"/>
    <n v="2416.89"/>
    <n v="2778.3999999999901"/>
    <x v="0"/>
    <n v="0.05"/>
    <x v="0"/>
    <x v="0"/>
    <x v="6"/>
    <n v="361.50999999999021"/>
  </r>
  <r>
    <n v="1089"/>
    <x v="47"/>
    <x v="1"/>
    <x v="3"/>
    <n v="7751.92"/>
    <n v="43"/>
    <x v="0"/>
    <n v="3851.45"/>
    <n v="4186.9799999999996"/>
    <x v="0"/>
    <n v="0.3"/>
    <x v="2"/>
    <x v="0"/>
    <x v="11"/>
    <n v="335.52999999999975"/>
  </r>
  <r>
    <n v="1060"/>
    <x v="48"/>
    <x v="2"/>
    <x v="4"/>
    <n v="5260.83"/>
    <n v="31"/>
    <x v="3"/>
    <n v="3161.4"/>
    <n v="3339.66"/>
    <x v="0"/>
    <n v="0.02"/>
    <x v="1"/>
    <x v="0"/>
    <x v="5"/>
    <n v="178.25999999999976"/>
  </r>
  <r>
    <n v="1014"/>
    <x v="49"/>
    <x v="1"/>
    <x v="5"/>
    <n v="9762.5400000000009"/>
    <n v="17"/>
    <x v="1"/>
    <n v="3184.65"/>
    <n v="3204.01"/>
    <x v="1"/>
    <n v="0.2"/>
    <x v="1"/>
    <x v="0"/>
    <x v="13"/>
    <n v="19.360000000000127"/>
  </r>
  <r>
    <n v="1009"/>
    <x v="40"/>
    <x v="4"/>
    <x v="6"/>
    <n v="1342.95"/>
    <n v="33"/>
    <x v="2"/>
    <n v="2278.9"/>
    <n v="2626.9"/>
    <x v="1"/>
    <n v="0.05"/>
    <x v="2"/>
    <x v="0"/>
    <x v="15"/>
    <n v="348"/>
  </r>
  <r>
    <n v="1090"/>
    <x v="50"/>
    <x v="4"/>
    <x v="0"/>
    <n v="267.77999999999997"/>
    <n v="32"/>
    <x v="3"/>
    <n v="2678.99"/>
    <n v="3152.2799999999902"/>
    <x v="0"/>
    <n v="0.22"/>
    <x v="0"/>
    <x v="1"/>
    <x v="17"/>
    <n v="473.28999999999041"/>
  </r>
  <r>
    <n v="1053"/>
    <x v="51"/>
    <x v="1"/>
    <x v="1"/>
    <n v="7724.57"/>
    <n v="29"/>
    <x v="3"/>
    <n v="3741.3"/>
    <n v="4061.04"/>
    <x v="0"/>
    <n v="0.21"/>
    <x v="2"/>
    <x v="0"/>
    <x v="16"/>
    <n v="319.73999999999978"/>
  </r>
  <r>
    <n v="1002"/>
    <x v="52"/>
    <x v="1"/>
    <x v="2"/>
    <n v="8090.84"/>
    <n v="21"/>
    <x v="2"/>
    <n v="4138.41"/>
    <n v="4361.7"/>
    <x v="0"/>
    <n v="7.0000000000000007E-2"/>
    <x v="2"/>
    <x v="1"/>
    <x v="16"/>
    <n v="223.28999999999996"/>
  </r>
  <r>
    <n v="1084"/>
    <x v="53"/>
    <x v="4"/>
    <x v="3"/>
    <n v="1290.05"/>
    <n v="21"/>
    <x v="0"/>
    <n v="3497.98"/>
    <n v="3765.31"/>
    <x v="1"/>
    <n v="0.08"/>
    <x v="0"/>
    <x v="0"/>
    <x v="17"/>
    <n v="267.32999999999993"/>
  </r>
  <r>
    <n v="1092"/>
    <x v="54"/>
    <x v="2"/>
    <x v="4"/>
    <n v="2729.27"/>
    <n v="40"/>
    <x v="3"/>
    <n v="4624.16"/>
    <n v="4731.9799999999996"/>
    <x v="1"/>
    <n v="0.2"/>
    <x v="1"/>
    <x v="1"/>
    <x v="4"/>
    <n v="107.81999999999971"/>
  </r>
  <r>
    <n v="1060"/>
    <x v="55"/>
    <x v="3"/>
    <x v="5"/>
    <n v="273.77"/>
    <n v="23"/>
    <x v="2"/>
    <n v="4110.6000000000004"/>
    <n v="4488.37"/>
    <x v="1"/>
    <n v="0.12"/>
    <x v="2"/>
    <x v="0"/>
    <x v="14"/>
    <n v="377.76999999999953"/>
  </r>
  <r>
    <n v="1071"/>
    <x v="56"/>
    <x v="3"/>
    <x v="6"/>
    <n v="3003.76"/>
    <n v="6"/>
    <x v="0"/>
    <n v="2831.23"/>
    <n v="3206.98"/>
    <x v="0"/>
    <n v="0.06"/>
    <x v="1"/>
    <x v="1"/>
    <x v="8"/>
    <n v="375.75"/>
  </r>
  <r>
    <n v="1044"/>
    <x v="57"/>
    <x v="1"/>
    <x v="0"/>
    <n v="7754.1"/>
    <n v="22"/>
    <x v="1"/>
    <n v="3373.46"/>
    <n v="3454.76"/>
    <x v="0"/>
    <n v="0.22"/>
    <x v="1"/>
    <x v="1"/>
    <x v="2"/>
    <n v="81.300000000000182"/>
  </r>
  <r>
    <n v="1008"/>
    <x v="58"/>
    <x v="3"/>
    <x v="1"/>
    <n v="5227.8100000000004"/>
    <n v="38"/>
    <x v="2"/>
    <n v="4635.2299999999996"/>
    <n v="5075.4399999999996"/>
    <x v="0"/>
    <n v="0.05"/>
    <x v="0"/>
    <x v="0"/>
    <x v="7"/>
    <n v="440.21000000000004"/>
  </r>
  <r>
    <n v="1047"/>
    <x v="59"/>
    <x v="4"/>
    <x v="2"/>
    <n v="3546.15"/>
    <n v="37"/>
    <x v="3"/>
    <n v="3114.88"/>
    <n v="3256.78"/>
    <x v="0"/>
    <n v="0.26"/>
    <x v="2"/>
    <x v="0"/>
    <x v="18"/>
    <n v="141.90000000000009"/>
  </r>
  <r>
    <n v="1035"/>
    <x v="60"/>
    <x v="4"/>
    <x v="3"/>
    <n v="3780.22"/>
    <n v="45"/>
    <x v="1"/>
    <n v="4132.79"/>
    <n v="4624.1000000000004"/>
    <x v="1"/>
    <n v="0.15"/>
    <x v="2"/>
    <x v="1"/>
    <x v="9"/>
    <n v="491.3100000000004"/>
  </r>
  <r>
    <n v="1078"/>
    <x v="10"/>
    <x v="1"/>
    <x v="4"/>
    <n v="113.4"/>
    <n v="8"/>
    <x v="0"/>
    <n v="3459.61"/>
    <n v="3657.23"/>
    <x v="0"/>
    <n v="0.03"/>
    <x v="1"/>
    <x v="0"/>
    <x v="16"/>
    <n v="197.61999999999989"/>
  </r>
  <r>
    <n v="1081"/>
    <x v="61"/>
    <x v="1"/>
    <x v="5"/>
    <n v="3068.03"/>
    <n v="41"/>
    <x v="0"/>
    <n v="2782.08"/>
    <n v="2879.24"/>
    <x v="1"/>
    <n v="0.21"/>
    <x v="1"/>
    <x v="0"/>
    <x v="16"/>
    <n v="97.159999999999854"/>
  </r>
  <r>
    <n v="1036"/>
    <x v="62"/>
    <x v="1"/>
    <x v="6"/>
    <n v="6499.94"/>
    <n v="49"/>
    <x v="2"/>
    <n v="1247.0999999999999"/>
    <n v="1429.4399999999901"/>
    <x v="1"/>
    <n v="0.16"/>
    <x v="0"/>
    <x v="0"/>
    <x v="11"/>
    <n v="182.33999999999014"/>
  </r>
  <r>
    <n v="1050"/>
    <x v="63"/>
    <x v="2"/>
    <x v="0"/>
    <n v="9744.52"/>
    <n v="35"/>
    <x v="2"/>
    <n v="2158.69"/>
    <n v="2384.38"/>
    <x v="0"/>
    <n v="0.09"/>
    <x v="1"/>
    <x v="1"/>
    <x v="4"/>
    <n v="225.69000000000005"/>
  </r>
  <r>
    <n v="1004"/>
    <x v="64"/>
    <x v="3"/>
    <x v="1"/>
    <n v="8485.9"/>
    <n v="11"/>
    <x v="2"/>
    <n v="4840.33"/>
    <n v="4884.29"/>
    <x v="1"/>
    <n v="0.13"/>
    <x v="0"/>
    <x v="0"/>
    <x v="7"/>
    <n v="43.960000000000036"/>
  </r>
  <r>
    <n v="1002"/>
    <x v="65"/>
    <x v="1"/>
    <x v="2"/>
    <n v="333.59"/>
    <n v="24"/>
    <x v="0"/>
    <n v="3305.94"/>
    <n v="3599.27"/>
    <x v="1"/>
    <n v="0.09"/>
    <x v="2"/>
    <x v="1"/>
    <x v="11"/>
    <n v="293.32999999999993"/>
  </r>
  <r>
    <n v="1006"/>
    <x v="66"/>
    <x v="0"/>
    <x v="3"/>
    <n v="8995.75"/>
    <n v="49"/>
    <x v="1"/>
    <n v="2843.76"/>
    <n v="3146.6"/>
    <x v="1"/>
    <n v="0.08"/>
    <x v="0"/>
    <x v="1"/>
    <x v="0"/>
    <n v="302.83999999999969"/>
  </r>
  <r>
    <n v="1054"/>
    <x v="67"/>
    <x v="0"/>
    <x v="4"/>
    <n v="7853.66"/>
    <n v="21"/>
    <x v="0"/>
    <n v="4668.1400000000003"/>
    <n v="5040.22"/>
    <x v="1"/>
    <n v="0.05"/>
    <x v="1"/>
    <x v="0"/>
    <x v="3"/>
    <n v="372.07999999999993"/>
  </r>
  <r>
    <n v="1004"/>
    <x v="68"/>
    <x v="4"/>
    <x v="5"/>
    <n v="7825.72"/>
    <n v="2"/>
    <x v="3"/>
    <n v="2953.23"/>
    <n v="2977.52"/>
    <x v="0"/>
    <n v="0.11"/>
    <x v="2"/>
    <x v="1"/>
    <x v="17"/>
    <n v="24.289999999999964"/>
  </r>
  <r>
    <n v="1054"/>
    <x v="69"/>
    <x v="3"/>
    <x v="6"/>
    <n v="4634.16"/>
    <n v="40"/>
    <x v="0"/>
    <n v="2654.11"/>
    <n v="2929.32"/>
    <x v="0"/>
    <n v="0.08"/>
    <x v="0"/>
    <x v="0"/>
    <x v="6"/>
    <n v="275.21000000000004"/>
  </r>
  <r>
    <n v="1093"/>
    <x v="70"/>
    <x v="1"/>
    <x v="0"/>
    <n v="4040.25"/>
    <n v="19"/>
    <x v="3"/>
    <n v="3808.59"/>
    <n v="3844.51"/>
    <x v="1"/>
    <n v="0.21"/>
    <x v="2"/>
    <x v="0"/>
    <x v="13"/>
    <n v="35.920000000000073"/>
  </r>
  <r>
    <n v="1063"/>
    <x v="71"/>
    <x v="0"/>
    <x v="1"/>
    <n v="3098.87"/>
    <n v="39"/>
    <x v="1"/>
    <n v="3577.69"/>
    <n v="3931.25"/>
    <x v="0"/>
    <n v="0.21"/>
    <x v="0"/>
    <x v="1"/>
    <x v="1"/>
    <n v="353.55999999999995"/>
  </r>
  <r>
    <n v="1018"/>
    <x v="72"/>
    <x v="3"/>
    <x v="2"/>
    <n v="750.38"/>
    <n v="28"/>
    <x v="2"/>
    <n v="1006.14"/>
    <n v="1043.45"/>
    <x v="1"/>
    <n v="0.15"/>
    <x v="1"/>
    <x v="1"/>
    <x v="7"/>
    <n v="37.310000000000059"/>
  </r>
  <r>
    <n v="1090"/>
    <x v="73"/>
    <x v="4"/>
    <x v="3"/>
    <n v="2359.5300000000002"/>
    <n v="17"/>
    <x v="2"/>
    <n v="2382.98"/>
    <n v="2839.73"/>
    <x v="0"/>
    <n v="0.23"/>
    <x v="1"/>
    <x v="1"/>
    <x v="18"/>
    <n v="456.75"/>
  </r>
  <r>
    <n v="1044"/>
    <x v="74"/>
    <x v="2"/>
    <x v="4"/>
    <n v="2541.38"/>
    <n v="6"/>
    <x v="0"/>
    <n v="2388.9499999999998"/>
    <n v="2742.97"/>
    <x v="0"/>
    <n v="0.25"/>
    <x v="2"/>
    <x v="1"/>
    <x v="19"/>
    <n v="354.02"/>
  </r>
  <r>
    <n v="1034"/>
    <x v="75"/>
    <x v="3"/>
    <x v="5"/>
    <n v="4892.3599999999997"/>
    <n v="19"/>
    <x v="2"/>
    <n v="1922.21"/>
    <n v="2180.83"/>
    <x v="0"/>
    <n v="0.17"/>
    <x v="2"/>
    <x v="1"/>
    <x v="14"/>
    <n v="258.61999999999989"/>
  </r>
  <r>
    <n v="1074"/>
    <x v="76"/>
    <x v="3"/>
    <x v="6"/>
    <n v="7499.7"/>
    <n v="38"/>
    <x v="1"/>
    <n v="2610.6"/>
    <n v="2836.94"/>
    <x v="0"/>
    <n v="0.19"/>
    <x v="2"/>
    <x v="0"/>
    <x v="8"/>
    <n v="226.34000000000015"/>
  </r>
  <r>
    <n v="1062"/>
    <x v="77"/>
    <x v="2"/>
    <x v="0"/>
    <n v="4790.72"/>
    <n v="28"/>
    <x v="2"/>
    <n v="2094.88"/>
    <n v="2168.91"/>
    <x v="0"/>
    <n v="0.08"/>
    <x v="0"/>
    <x v="1"/>
    <x v="19"/>
    <n v="74.029999999999745"/>
  </r>
  <r>
    <n v="1100"/>
    <x v="78"/>
    <x v="3"/>
    <x v="1"/>
    <n v="672.66"/>
    <n v="2"/>
    <x v="0"/>
    <n v="1036.76"/>
    <n v="1189.3499999999999"/>
    <x v="1"/>
    <n v="0.27"/>
    <x v="1"/>
    <x v="0"/>
    <x v="14"/>
    <n v="152.58999999999992"/>
  </r>
  <r>
    <n v="1014"/>
    <x v="6"/>
    <x v="4"/>
    <x v="2"/>
    <n v="9582.1200000000008"/>
    <n v="38"/>
    <x v="1"/>
    <n v="2091.21"/>
    <n v="2527"/>
    <x v="0"/>
    <n v="0.01"/>
    <x v="2"/>
    <x v="0"/>
    <x v="9"/>
    <n v="435.78999999999996"/>
  </r>
  <r>
    <n v="1095"/>
    <x v="79"/>
    <x v="4"/>
    <x v="3"/>
    <n v="9432.9699999999993"/>
    <n v="37"/>
    <x v="3"/>
    <n v="407.77"/>
    <n v="860.95"/>
    <x v="1"/>
    <n v="0.1"/>
    <x v="2"/>
    <x v="1"/>
    <x v="18"/>
    <n v="453.18000000000006"/>
  </r>
  <r>
    <n v="1048"/>
    <x v="80"/>
    <x v="2"/>
    <x v="4"/>
    <n v="7873.38"/>
    <n v="4"/>
    <x v="0"/>
    <n v="2900.14"/>
    <n v="2910.5099999999902"/>
    <x v="1"/>
    <n v="0.22"/>
    <x v="2"/>
    <x v="1"/>
    <x v="19"/>
    <n v="10.369999999990341"/>
  </r>
  <r>
    <n v="1015"/>
    <x v="81"/>
    <x v="1"/>
    <x v="5"/>
    <n v="9914.15"/>
    <n v="22"/>
    <x v="3"/>
    <n v="4275.59"/>
    <n v="4576.72"/>
    <x v="0"/>
    <n v="0.02"/>
    <x v="0"/>
    <x v="1"/>
    <x v="2"/>
    <n v="301.13000000000011"/>
  </r>
  <r>
    <n v="1072"/>
    <x v="61"/>
    <x v="0"/>
    <x v="6"/>
    <n v="5490.38"/>
    <n v="26"/>
    <x v="1"/>
    <n v="3640.17"/>
    <n v="4002.63"/>
    <x v="1"/>
    <n v="0.05"/>
    <x v="2"/>
    <x v="1"/>
    <x v="12"/>
    <n v="362.46000000000004"/>
  </r>
  <r>
    <n v="1078"/>
    <x v="41"/>
    <x v="1"/>
    <x v="0"/>
    <n v="9631.41"/>
    <n v="49"/>
    <x v="0"/>
    <n v="1833.95"/>
    <n v="2147.14"/>
    <x v="0"/>
    <n v="0.18"/>
    <x v="2"/>
    <x v="1"/>
    <x v="16"/>
    <n v="313.18999999999983"/>
  </r>
  <r>
    <n v="1087"/>
    <x v="25"/>
    <x v="3"/>
    <x v="1"/>
    <n v="848.49"/>
    <n v="43"/>
    <x v="0"/>
    <n v="481"/>
    <n v="531.02"/>
    <x v="1"/>
    <n v="0.17"/>
    <x v="0"/>
    <x v="0"/>
    <x v="14"/>
    <n v="50.019999999999982"/>
  </r>
  <r>
    <n v="1062"/>
    <x v="82"/>
    <x v="0"/>
    <x v="2"/>
    <n v="3720.24"/>
    <n v="36"/>
    <x v="1"/>
    <n v="1050.6400000000001"/>
    <n v="1167.33"/>
    <x v="1"/>
    <n v="0.22"/>
    <x v="0"/>
    <x v="0"/>
    <x v="12"/>
    <n v="116.68999999999983"/>
  </r>
  <r>
    <n v="1040"/>
    <x v="83"/>
    <x v="2"/>
    <x v="3"/>
    <n v="2331.27"/>
    <n v="13"/>
    <x v="2"/>
    <n v="2750.18"/>
    <n v="2882.85"/>
    <x v="0"/>
    <n v="0.24"/>
    <x v="2"/>
    <x v="0"/>
    <x v="4"/>
    <n v="132.67000000000007"/>
  </r>
  <r>
    <n v="1085"/>
    <x v="24"/>
    <x v="2"/>
    <x v="4"/>
    <n v="2038.75"/>
    <n v="32"/>
    <x v="0"/>
    <n v="1074.93"/>
    <n v="1492.48"/>
    <x v="0"/>
    <n v="0.04"/>
    <x v="2"/>
    <x v="1"/>
    <x v="10"/>
    <n v="417.54999999999995"/>
  </r>
  <r>
    <n v="1080"/>
    <x v="3"/>
    <x v="0"/>
    <x v="5"/>
    <n v="1493.95"/>
    <n v="17"/>
    <x v="0"/>
    <n v="2742.67"/>
    <n v="2979.64"/>
    <x v="0"/>
    <n v="0.01"/>
    <x v="0"/>
    <x v="1"/>
    <x v="1"/>
    <n v="236.9699999999998"/>
  </r>
  <r>
    <n v="1082"/>
    <x v="84"/>
    <x v="4"/>
    <x v="6"/>
    <n v="6261.9"/>
    <n v="41"/>
    <x v="3"/>
    <n v="1196.42"/>
    <n v="1444.97"/>
    <x v="0"/>
    <n v="0.21"/>
    <x v="1"/>
    <x v="0"/>
    <x v="9"/>
    <n v="248.54999999999995"/>
  </r>
  <r>
    <n v="1053"/>
    <x v="28"/>
    <x v="0"/>
    <x v="0"/>
    <n v="7835.09"/>
    <n v="36"/>
    <x v="2"/>
    <n v="4252.17"/>
    <n v="4720.2700000000004"/>
    <x v="1"/>
    <n v="0.09"/>
    <x v="0"/>
    <x v="1"/>
    <x v="3"/>
    <n v="468.10000000000036"/>
  </r>
  <r>
    <n v="1024"/>
    <x v="85"/>
    <x v="3"/>
    <x v="1"/>
    <n v="5825.15"/>
    <n v="46"/>
    <x v="3"/>
    <n v="2016.49"/>
    <n v="2338.66"/>
    <x v="0"/>
    <n v="0.19"/>
    <x v="1"/>
    <x v="1"/>
    <x v="6"/>
    <n v="322.16999999999985"/>
  </r>
  <r>
    <n v="1026"/>
    <x v="86"/>
    <x v="4"/>
    <x v="2"/>
    <n v="1554.93"/>
    <n v="19"/>
    <x v="3"/>
    <n v="1265.48"/>
    <n v="1715.83"/>
    <x v="1"/>
    <n v="0.05"/>
    <x v="2"/>
    <x v="1"/>
    <x v="17"/>
    <n v="450.34999999999991"/>
  </r>
  <r>
    <n v="1089"/>
    <x v="58"/>
    <x v="2"/>
    <x v="3"/>
    <n v="8130.13"/>
    <n v="35"/>
    <x v="2"/>
    <n v="4071.01"/>
    <n v="4304.7"/>
    <x v="1"/>
    <n v="0.14000000000000001"/>
    <x v="2"/>
    <x v="0"/>
    <x v="19"/>
    <n v="233.6899999999996"/>
  </r>
  <r>
    <n v="1060"/>
    <x v="87"/>
    <x v="0"/>
    <x v="4"/>
    <n v="6395.95"/>
    <n v="46"/>
    <x v="2"/>
    <n v="1747.05"/>
    <n v="1830.27"/>
    <x v="1"/>
    <n v="0.15"/>
    <x v="1"/>
    <x v="1"/>
    <x v="1"/>
    <n v="83.220000000000027"/>
  </r>
  <r>
    <n v="1041"/>
    <x v="10"/>
    <x v="1"/>
    <x v="5"/>
    <n v="3942.84"/>
    <n v="40"/>
    <x v="1"/>
    <n v="601.86"/>
    <n v="1067.53"/>
    <x v="1"/>
    <n v="0.18"/>
    <x v="0"/>
    <x v="0"/>
    <x v="2"/>
    <n v="465.66999999999996"/>
  </r>
  <r>
    <n v="1029"/>
    <x v="88"/>
    <x v="1"/>
    <x v="6"/>
    <n v="6773.89"/>
    <n v="28"/>
    <x v="2"/>
    <n v="2873.53"/>
    <n v="3108.3"/>
    <x v="1"/>
    <n v="0.15"/>
    <x v="2"/>
    <x v="1"/>
    <x v="16"/>
    <n v="234.76999999999998"/>
  </r>
  <r>
    <n v="1015"/>
    <x v="10"/>
    <x v="3"/>
    <x v="0"/>
    <n v="2673.06"/>
    <n v="1"/>
    <x v="0"/>
    <n v="2928.74"/>
    <n v="3027.74"/>
    <x v="1"/>
    <n v="0.15"/>
    <x v="1"/>
    <x v="1"/>
    <x v="14"/>
    <n v="99"/>
  </r>
  <r>
    <n v="1045"/>
    <x v="89"/>
    <x v="1"/>
    <x v="1"/>
    <n v="3517.4"/>
    <n v="42"/>
    <x v="2"/>
    <n v="3587.74"/>
    <n v="3745.91"/>
    <x v="0"/>
    <n v="0.1"/>
    <x v="0"/>
    <x v="0"/>
    <x v="2"/>
    <n v="158.17000000000007"/>
  </r>
  <r>
    <n v="1065"/>
    <x v="90"/>
    <x v="0"/>
    <x v="2"/>
    <n v="9183.11"/>
    <n v="18"/>
    <x v="1"/>
    <n v="1239.0899999999999"/>
    <n v="1273.98"/>
    <x v="1"/>
    <n v="0.02"/>
    <x v="1"/>
    <x v="1"/>
    <x v="12"/>
    <n v="34.8900000000001"/>
  </r>
  <r>
    <n v="1089"/>
    <x v="91"/>
    <x v="0"/>
    <x v="3"/>
    <n v="2975.99"/>
    <n v="48"/>
    <x v="1"/>
    <n v="2246.67"/>
    <n v="2486.14"/>
    <x v="1"/>
    <n v="0.03"/>
    <x v="0"/>
    <x v="1"/>
    <x v="3"/>
    <n v="239.4699999999998"/>
  </r>
  <r>
    <n v="1071"/>
    <x v="92"/>
    <x v="1"/>
    <x v="4"/>
    <n v="4752.88"/>
    <n v="40"/>
    <x v="1"/>
    <n v="1447.72"/>
    <n v="1875.75"/>
    <x v="1"/>
    <n v="0.13"/>
    <x v="0"/>
    <x v="1"/>
    <x v="16"/>
    <n v="428.03"/>
  </r>
  <r>
    <n v="1009"/>
    <x v="14"/>
    <x v="0"/>
    <x v="5"/>
    <n v="8912.4"/>
    <n v="33"/>
    <x v="2"/>
    <n v="450.72"/>
    <n v="918.17"/>
    <x v="0"/>
    <n v="0.11"/>
    <x v="0"/>
    <x v="0"/>
    <x v="1"/>
    <n v="467.44999999999993"/>
  </r>
  <r>
    <n v="1088"/>
    <x v="93"/>
    <x v="3"/>
    <x v="6"/>
    <n v="7106.44"/>
    <n v="12"/>
    <x v="2"/>
    <n v="4389.24"/>
    <n v="4856.2199999999903"/>
    <x v="0"/>
    <n v="0.15"/>
    <x v="0"/>
    <x v="1"/>
    <x v="7"/>
    <n v="466.97999999999047"/>
  </r>
  <r>
    <n v="1001"/>
    <x v="94"/>
    <x v="4"/>
    <x v="0"/>
    <n v="715.81"/>
    <n v="8"/>
    <x v="3"/>
    <n v="3657.91"/>
    <n v="3729.27"/>
    <x v="1"/>
    <n v="0.09"/>
    <x v="1"/>
    <x v="1"/>
    <x v="15"/>
    <n v="71.360000000000127"/>
  </r>
  <r>
    <n v="1008"/>
    <x v="95"/>
    <x v="3"/>
    <x v="1"/>
    <n v="1558.3"/>
    <n v="24"/>
    <x v="3"/>
    <n v="1542.24"/>
    <n v="1739.45"/>
    <x v="0"/>
    <n v="0.21"/>
    <x v="1"/>
    <x v="1"/>
    <x v="8"/>
    <n v="197.21000000000004"/>
  </r>
  <r>
    <n v="1088"/>
    <x v="96"/>
    <x v="3"/>
    <x v="2"/>
    <n v="177.63"/>
    <n v="16"/>
    <x v="0"/>
    <n v="3016.9"/>
    <n v="3040.73"/>
    <x v="1"/>
    <n v="0.26"/>
    <x v="1"/>
    <x v="1"/>
    <x v="8"/>
    <n v="23.829999999999927"/>
  </r>
  <r>
    <n v="1063"/>
    <x v="97"/>
    <x v="0"/>
    <x v="3"/>
    <n v="6346.13"/>
    <n v="4"/>
    <x v="3"/>
    <n v="1046.26"/>
    <n v="1475.29"/>
    <x v="0"/>
    <n v="0.09"/>
    <x v="1"/>
    <x v="1"/>
    <x v="3"/>
    <n v="429.03"/>
  </r>
  <r>
    <n v="1011"/>
    <x v="98"/>
    <x v="4"/>
    <x v="4"/>
    <n v="4531.97"/>
    <n v="38"/>
    <x v="0"/>
    <n v="4456.67"/>
    <n v="4642.46"/>
    <x v="1"/>
    <n v="0.06"/>
    <x v="1"/>
    <x v="0"/>
    <x v="9"/>
    <n v="185.78999999999996"/>
  </r>
  <r>
    <n v="1081"/>
    <x v="99"/>
    <x v="0"/>
    <x v="5"/>
    <n v="1429.32"/>
    <n v="44"/>
    <x v="1"/>
    <n v="618.79"/>
    <n v="938.04"/>
    <x v="0"/>
    <n v="0.03"/>
    <x v="0"/>
    <x v="0"/>
    <x v="3"/>
    <n v="319.25"/>
  </r>
  <r>
    <n v="1008"/>
    <x v="100"/>
    <x v="2"/>
    <x v="6"/>
    <n v="9583.5499999999993"/>
    <n v="27"/>
    <x v="3"/>
    <n v="68.989999999999995"/>
    <n v="429.29"/>
    <x v="0"/>
    <n v="0.18"/>
    <x v="2"/>
    <x v="1"/>
    <x v="4"/>
    <n v="360.3"/>
  </r>
  <r>
    <n v="1035"/>
    <x v="101"/>
    <x v="0"/>
    <x v="0"/>
    <n v="5343.63"/>
    <n v="9"/>
    <x v="2"/>
    <n v="2534.94"/>
    <n v="2755.56"/>
    <x v="0"/>
    <n v="0.13"/>
    <x v="2"/>
    <x v="1"/>
    <x v="3"/>
    <n v="220.61999999999989"/>
  </r>
  <r>
    <n v="1035"/>
    <x v="42"/>
    <x v="0"/>
    <x v="1"/>
    <n v="2494.7399999999998"/>
    <n v="47"/>
    <x v="3"/>
    <n v="2936.48"/>
    <n v="3096.64"/>
    <x v="1"/>
    <n v="0.06"/>
    <x v="1"/>
    <x v="0"/>
    <x v="1"/>
    <n v="160.15999999999985"/>
  </r>
  <r>
    <n v="1033"/>
    <x v="102"/>
    <x v="0"/>
    <x v="2"/>
    <n v="5055.9799999999996"/>
    <n v="16"/>
    <x v="0"/>
    <n v="2915.88"/>
    <n v="3397.36"/>
    <x v="1"/>
    <n v="0.2"/>
    <x v="1"/>
    <x v="1"/>
    <x v="0"/>
    <n v="481.48"/>
  </r>
  <r>
    <n v="1005"/>
    <x v="103"/>
    <x v="4"/>
    <x v="3"/>
    <n v="6828.24"/>
    <n v="12"/>
    <x v="3"/>
    <n v="319.83"/>
    <n v="802.43"/>
    <x v="1"/>
    <n v="0.04"/>
    <x v="2"/>
    <x v="1"/>
    <x v="18"/>
    <n v="482.59999999999997"/>
  </r>
  <r>
    <n v="1041"/>
    <x v="104"/>
    <x v="0"/>
    <x v="4"/>
    <n v="854.77"/>
    <n v="31"/>
    <x v="1"/>
    <n v="1604.52"/>
    <n v="1756.34"/>
    <x v="0"/>
    <n v="0.17"/>
    <x v="0"/>
    <x v="1"/>
    <x v="3"/>
    <n v="151.81999999999994"/>
  </r>
  <r>
    <n v="1028"/>
    <x v="5"/>
    <x v="4"/>
    <x v="5"/>
    <n v="2819.57"/>
    <n v="24"/>
    <x v="2"/>
    <n v="2521.0300000000002"/>
    <n v="2766.05"/>
    <x v="0"/>
    <n v="0.16"/>
    <x v="1"/>
    <x v="1"/>
    <x v="18"/>
    <n v="245.01999999999998"/>
  </r>
  <r>
    <n v="1007"/>
    <x v="103"/>
    <x v="1"/>
    <x v="6"/>
    <n v="8088.96"/>
    <n v="14"/>
    <x v="0"/>
    <n v="1122.07"/>
    <n v="1608.76"/>
    <x v="1"/>
    <n v="0.22"/>
    <x v="0"/>
    <x v="1"/>
    <x v="16"/>
    <n v="486.69000000000005"/>
  </r>
  <r>
    <n v="1073"/>
    <x v="87"/>
    <x v="2"/>
    <x v="0"/>
    <n v="4650.68"/>
    <n v="45"/>
    <x v="2"/>
    <n v="4369.5"/>
    <n v="4381.8900000000003"/>
    <x v="0"/>
    <n v="0.02"/>
    <x v="2"/>
    <x v="1"/>
    <x v="10"/>
    <n v="12.390000000000327"/>
  </r>
  <r>
    <n v="1072"/>
    <x v="90"/>
    <x v="4"/>
    <x v="1"/>
    <n v="5511.11"/>
    <n v="25"/>
    <x v="2"/>
    <n v="481.19"/>
    <n v="693.4"/>
    <x v="1"/>
    <n v="0.27"/>
    <x v="2"/>
    <x v="1"/>
    <x v="18"/>
    <n v="212.20999999999998"/>
  </r>
  <r>
    <n v="1012"/>
    <x v="105"/>
    <x v="1"/>
    <x v="2"/>
    <n v="4384.88"/>
    <n v="34"/>
    <x v="0"/>
    <n v="2462.5500000000002"/>
    <n v="2521.77"/>
    <x v="1"/>
    <n v="0.21"/>
    <x v="1"/>
    <x v="1"/>
    <x v="11"/>
    <n v="59.2199999999998"/>
  </r>
  <r>
    <n v="1034"/>
    <x v="106"/>
    <x v="4"/>
    <x v="3"/>
    <n v="534.61"/>
    <n v="3"/>
    <x v="2"/>
    <n v="3472.51"/>
    <n v="3732"/>
    <x v="1"/>
    <n v="0.06"/>
    <x v="0"/>
    <x v="0"/>
    <x v="17"/>
    <n v="259.48999999999978"/>
  </r>
  <r>
    <n v="1033"/>
    <x v="107"/>
    <x v="4"/>
    <x v="4"/>
    <n v="1740.92"/>
    <n v="24"/>
    <x v="2"/>
    <n v="1345.67"/>
    <n v="1367.76"/>
    <x v="1"/>
    <n v="0.06"/>
    <x v="1"/>
    <x v="0"/>
    <x v="17"/>
    <n v="22.089999999999918"/>
  </r>
  <r>
    <n v="1048"/>
    <x v="108"/>
    <x v="2"/>
    <x v="5"/>
    <n v="4510.8599999999997"/>
    <n v="42"/>
    <x v="3"/>
    <n v="3139.99"/>
    <n v="3349.37"/>
    <x v="0"/>
    <n v="0.13"/>
    <x v="2"/>
    <x v="1"/>
    <x v="19"/>
    <n v="209.38000000000011"/>
  </r>
  <r>
    <n v="1023"/>
    <x v="109"/>
    <x v="3"/>
    <x v="6"/>
    <n v="2170.94"/>
    <n v="9"/>
    <x v="2"/>
    <n v="4155.46"/>
    <n v="4273.6000000000004"/>
    <x v="0"/>
    <n v="0.25"/>
    <x v="0"/>
    <x v="1"/>
    <x v="14"/>
    <n v="118.14000000000033"/>
  </r>
  <r>
    <n v="1062"/>
    <x v="110"/>
    <x v="3"/>
    <x v="0"/>
    <n v="594.79"/>
    <n v="26"/>
    <x v="2"/>
    <n v="992.17"/>
    <n v="1263.49"/>
    <x v="0"/>
    <n v="0.25"/>
    <x v="1"/>
    <x v="1"/>
    <x v="6"/>
    <n v="271.32000000000005"/>
  </r>
  <r>
    <n v="1088"/>
    <x v="111"/>
    <x v="4"/>
    <x v="1"/>
    <n v="8452.1299999999992"/>
    <n v="20"/>
    <x v="2"/>
    <n v="4590.24"/>
    <n v="5088.28"/>
    <x v="1"/>
    <n v="0.16"/>
    <x v="1"/>
    <x v="1"/>
    <x v="18"/>
    <n v="498.03999999999996"/>
  </r>
  <r>
    <n v="1037"/>
    <x v="112"/>
    <x v="0"/>
    <x v="2"/>
    <n v="9813.81"/>
    <n v="40"/>
    <x v="2"/>
    <n v="2790.11"/>
    <n v="3192.37"/>
    <x v="0"/>
    <n v="0.26"/>
    <x v="1"/>
    <x v="0"/>
    <x v="0"/>
    <n v="402.25999999999976"/>
  </r>
  <r>
    <n v="1099"/>
    <x v="113"/>
    <x v="1"/>
    <x v="3"/>
    <n v="7952.11"/>
    <n v="10"/>
    <x v="0"/>
    <n v="1531.2"/>
    <n v="1955.56"/>
    <x v="1"/>
    <n v="0"/>
    <x v="2"/>
    <x v="0"/>
    <x v="16"/>
    <n v="424.3599999999999"/>
  </r>
  <r>
    <n v="1044"/>
    <x v="114"/>
    <x v="0"/>
    <x v="4"/>
    <n v="8552.4699999999993"/>
    <n v="19"/>
    <x v="1"/>
    <n v="2182.75"/>
    <n v="2504.0299999999902"/>
    <x v="1"/>
    <n v="0.01"/>
    <x v="1"/>
    <x v="0"/>
    <x v="1"/>
    <n v="321.2799999999902"/>
  </r>
  <r>
    <n v="1086"/>
    <x v="115"/>
    <x v="0"/>
    <x v="5"/>
    <n v="2495.5700000000002"/>
    <n v="3"/>
    <x v="3"/>
    <n v="1595.35"/>
    <n v="1625.70999999999"/>
    <x v="1"/>
    <n v="0.27"/>
    <x v="0"/>
    <x v="0"/>
    <x v="12"/>
    <n v="30.359999999990123"/>
  </r>
  <r>
    <n v="1091"/>
    <x v="116"/>
    <x v="4"/>
    <x v="6"/>
    <n v="9610.2099999999991"/>
    <n v="24"/>
    <x v="2"/>
    <n v="3639.3"/>
    <n v="3750.63"/>
    <x v="1"/>
    <n v="0.23"/>
    <x v="1"/>
    <x v="1"/>
    <x v="15"/>
    <n v="111.32999999999993"/>
  </r>
  <r>
    <n v="1035"/>
    <x v="53"/>
    <x v="4"/>
    <x v="0"/>
    <n v="2049.56"/>
    <n v="5"/>
    <x v="2"/>
    <n v="3991.69"/>
    <n v="4454.97"/>
    <x v="1"/>
    <n v="0.14000000000000001"/>
    <x v="2"/>
    <x v="1"/>
    <x v="17"/>
    <n v="463.2800000000002"/>
  </r>
  <r>
    <n v="1065"/>
    <x v="117"/>
    <x v="4"/>
    <x v="1"/>
    <n v="9519.16"/>
    <n v="3"/>
    <x v="0"/>
    <n v="4173.04"/>
    <n v="4362.4399999999996"/>
    <x v="1"/>
    <n v="0.23"/>
    <x v="1"/>
    <x v="1"/>
    <x v="18"/>
    <n v="189.39999999999964"/>
  </r>
  <r>
    <n v="1099"/>
    <x v="106"/>
    <x v="4"/>
    <x v="2"/>
    <n v="9948.7099999999991"/>
    <n v="27"/>
    <x v="1"/>
    <n v="4929.55"/>
    <n v="4990.33"/>
    <x v="0"/>
    <n v="0.28999999999999998"/>
    <x v="2"/>
    <x v="0"/>
    <x v="18"/>
    <n v="60.779999999999745"/>
  </r>
  <r>
    <n v="1047"/>
    <x v="106"/>
    <x v="3"/>
    <x v="3"/>
    <n v="7146.06"/>
    <n v="16"/>
    <x v="2"/>
    <n v="3966.86"/>
    <n v="4321.04"/>
    <x v="0"/>
    <n v="0.23"/>
    <x v="2"/>
    <x v="1"/>
    <x v="8"/>
    <n v="354.17999999999984"/>
  </r>
  <r>
    <n v="1078"/>
    <x v="118"/>
    <x v="4"/>
    <x v="4"/>
    <n v="9813.32"/>
    <n v="49"/>
    <x v="0"/>
    <n v="3026.85"/>
    <n v="3183.58"/>
    <x v="0"/>
    <n v="0.25"/>
    <x v="0"/>
    <x v="1"/>
    <x v="9"/>
    <n v="156.73000000000002"/>
  </r>
  <r>
    <n v="1003"/>
    <x v="18"/>
    <x v="3"/>
    <x v="5"/>
    <n v="5738.44"/>
    <n v="15"/>
    <x v="3"/>
    <n v="1729.14"/>
    <n v="1870.88"/>
    <x v="0"/>
    <n v="0.23"/>
    <x v="0"/>
    <x v="0"/>
    <x v="8"/>
    <n v="141.74"/>
  </r>
  <r>
    <n v="1001"/>
    <x v="39"/>
    <x v="3"/>
    <x v="6"/>
    <n v="2669.46"/>
    <n v="35"/>
    <x v="3"/>
    <n v="2745.75"/>
    <n v="3244.76"/>
    <x v="1"/>
    <n v="0.05"/>
    <x v="1"/>
    <x v="0"/>
    <x v="6"/>
    <n v="499.01000000000022"/>
  </r>
  <r>
    <n v="1005"/>
    <x v="119"/>
    <x v="4"/>
    <x v="0"/>
    <n v="4426.26"/>
    <n v="12"/>
    <x v="2"/>
    <n v="253.29"/>
    <n v="683.78"/>
    <x v="1"/>
    <n v="0.25"/>
    <x v="2"/>
    <x v="0"/>
    <x v="15"/>
    <n v="430.49"/>
  </r>
  <r>
    <n v="1090"/>
    <x v="109"/>
    <x v="2"/>
    <x v="1"/>
    <n v="5976.25"/>
    <n v="41"/>
    <x v="2"/>
    <n v="3736.88"/>
    <n v="3946.77"/>
    <x v="0"/>
    <n v="0.06"/>
    <x v="2"/>
    <x v="0"/>
    <x v="19"/>
    <n v="209.88999999999987"/>
  </r>
  <r>
    <n v="1014"/>
    <x v="5"/>
    <x v="1"/>
    <x v="2"/>
    <n v="823.51"/>
    <n v="44"/>
    <x v="1"/>
    <n v="2257.48"/>
    <n v="2747.81"/>
    <x v="0"/>
    <n v="0.27"/>
    <x v="0"/>
    <x v="0"/>
    <x v="13"/>
    <n v="490.32999999999993"/>
  </r>
  <r>
    <n v="1027"/>
    <x v="120"/>
    <x v="0"/>
    <x v="3"/>
    <n v="6261.2"/>
    <n v="26"/>
    <x v="1"/>
    <n v="149.11000000000001"/>
    <n v="477.67"/>
    <x v="0"/>
    <n v="0.14000000000000001"/>
    <x v="0"/>
    <x v="1"/>
    <x v="1"/>
    <n v="328.56"/>
  </r>
  <r>
    <n v="1009"/>
    <x v="1"/>
    <x v="3"/>
    <x v="4"/>
    <n v="9813.66"/>
    <n v="47"/>
    <x v="2"/>
    <n v="359.41"/>
    <n v="733"/>
    <x v="0"/>
    <n v="0.2"/>
    <x v="1"/>
    <x v="1"/>
    <x v="7"/>
    <n v="373.59"/>
  </r>
  <r>
    <n v="1079"/>
    <x v="121"/>
    <x v="1"/>
    <x v="5"/>
    <n v="1982.07"/>
    <n v="34"/>
    <x v="0"/>
    <n v="1967.96"/>
    <n v="1993.4"/>
    <x v="0"/>
    <n v="0.15"/>
    <x v="2"/>
    <x v="0"/>
    <x v="2"/>
    <n v="25.440000000000055"/>
  </r>
  <r>
    <n v="1015"/>
    <x v="15"/>
    <x v="2"/>
    <x v="6"/>
    <n v="7946.69"/>
    <n v="23"/>
    <x v="1"/>
    <n v="2937.94"/>
    <n v="3007.53"/>
    <x v="0"/>
    <n v="0.03"/>
    <x v="0"/>
    <x v="1"/>
    <x v="19"/>
    <n v="69.590000000000146"/>
  </r>
  <r>
    <n v="1090"/>
    <x v="122"/>
    <x v="0"/>
    <x v="0"/>
    <n v="9088.2000000000007"/>
    <n v="31"/>
    <x v="2"/>
    <n v="2347.81"/>
    <n v="2668.02"/>
    <x v="0"/>
    <n v="0.09"/>
    <x v="1"/>
    <x v="1"/>
    <x v="1"/>
    <n v="320.21000000000004"/>
  </r>
  <r>
    <n v="1042"/>
    <x v="121"/>
    <x v="0"/>
    <x v="1"/>
    <n v="9442.65"/>
    <n v="20"/>
    <x v="1"/>
    <n v="3115.06"/>
    <n v="3565.58"/>
    <x v="0"/>
    <n v="0.3"/>
    <x v="2"/>
    <x v="1"/>
    <x v="0"/>
    <n v="450.52"/>
  </r>
  <r>
    <n v="1077"/>
    <x v="61"/>
    <x v="3"/>
    <x v="2"/>
    <n v="9605.34"/>
    <n v="12"/>
    <x v="2"/>
    <n v="2427.46"/>
    <n v="2743.09"/>
    <x v="1"/>
    <n v="0.28999999999999998"/>
    <x v="2"/>
    <x v="1"/>
    <x v="8"/>
    <n v="315.63000000000011"/>
  </r>
  <r>
    <n v="1051"/>
    <x v="123"/>
    <x v="4"/>
    <x v="3"/>
    <n v="5262.45"/>
    <n v="23"/>
    <x v="3"/>
    <n v="3325.43"/>
    <n v="3401.1"/>
    <x v="1"/>
    <n v="0.1"/>
    <x v="0"/>
    <x v="0"/>
    <x v="17"/>
    <n v="75.670000000000073"/>
  </r>
  <r>
    <n v="1063"/>
    <x v="15"/>
    <x v="2"/>
    <x v="4"/>
    <n v="9775.35"/>
    <n v="4"/>
    <x v="2"/>
    <n v="1134.67"/>
    <n v="1201.3900000000001"/>
    <x v="1"/>
    <n v="0.3"/>
    <x v="1"/>
    <x v="1"/>
    <x v="19"/>
    <n v="66.720000000000027"/>
  </r>
  <r>
    <n v="1096"/>
    <x v="124"/>
    <x v="3"/>
    <x v="5"/>
    <n v="7597.37"/>
    <n v="23"/>
    <x v="3"/>
    <n v="608.57000000000005"/>
    <n v="1032.22"/>
    <x v="1"/>
    <n v="0.25"/>
    <x v="0"/>
    <x v="1"/>
    <x v="6"/>
    <n v="423.65"/>
  </r>
  <r>
    <n v="1052"/>
    <x v="125"/>
    <x v="2"/>
    <x v="6"/>
    <n v="1700.55"/>
    <n v="48"/>
    <x v="1"/>
    <n v="3002.35"/>
    <n v="3080.61"/>
    <x v="0"/>
    <n v="0.18"/>
    <x v="1"/>
    <x v="1"/>
    <x v="4"/>
    <n v="78.260000000000218"/>
  </r>
  <r>
    <n v="1096"/>
    <x v="126"/>
    <x v="4"/>
    <x v="0"/>
    <n v="4821.3100000000004"/>
    <n v="48"/>
    <x v="2"/>
    <n v="2449.21"/>
    <n v="2714.12"/>
    <x v="1"/>
    <n v="0.01"/>
    <x v="2"/>
    <x v="0"/>
    <x v="15"/>
    <n v="264.90999999999985"/>
  </r>
  <r>
    <n v="1004"/>
    <x v="35"/>
    <x v="4"/>
    <x v="1"/>
    <n v="7211.48"/>
    <n v="1"/>
    <x v="1"/>
    <n v="182.99"/>
    <n v="211.18"/>
    <x v="0"/>
    <n v="0.27"/>
    <x v="1"/>
    <x v="1"/>
    <x v="18"/>
    <n v="28.189999999999998"/>
  </r>
  <r>
    <n v="1094"/>
    <x v="69"/>
    <x v="3"/>
    <x v="2"/>
    <n v="2548.67"/>
    <n v="25"/>
    <x v="3"/>
    <n v="1933.39"/>
    <n v="1982.92"/>
    <x v="1"/>
    <n v="0.17"/>
    <x v="1"/>
    <x v="0"/>
    <x v="7"/>
    <n v="49.529999999999973"/>
  </r>
  <r>
    <n v="1023"/>
    <x v="99"/>
    <x v="4"/>
    <x v="3"/>
    <n v="6442.09"/>
    <n v="2"/>
    <x v="2"/>
    <n v="575.32000000000005"/>
    <n v="914.77"/>
    <x v="0"/>
    <n v="0.26"/>
    <x v="1"/>
    <x v="0"/>
    <x v="18"/>
    <n v="339.44999999999993"/>
  </r>
  <r>
    <n v="1015"/>
    <x v="127"/>
    <x v="1"/>
    <x v="4"/>
    <n v="6699.34"/>
    <n v="30"/>
    <x v="1"/>
    <n v="2680.22"/>
    <n v="3027.9199999999901"/>
    <x v="0"/>
    <n v="0.25"/>
    <x v="1"/>
    <x v="0"/>
    <x v="2"/>
    <n v="347.69999999999027"/>
  </r>
  <r>
    <n v="1043"/>
    <x v="128"/>
    <x v="0"/>
    <x v="5"/>
    <n v="1710.73"/>
    <n v="3"/>
    <x v="3"/>
    <n v="2009.1"/>
    <n v="2186.42"/>
    <x v="1"/>
    <n v="0.25"/>
    <x v="1"/>
    <x v="0"/>
    <x v="3"/>
    <n v="177.32000000000016"/>
  </r>
  <r>
    <n v="1029"/>
    <x v="111"/>
    <x v="3"/>
    <x v="6"/>
    <n v="5694.34"/>
    <n v="21"/>
    <x v="1"/>
    <n v="3085.1"/>
    <n v="3200.75"/>
    <x v="1"/>
    <n v="0.21"/>
    <x v="0"/>
    <x v="1"/>
    <x v="7"/>
    <n v="115.65000000000009"/>
  </r>
  <r>
    <n v="1036"/>
    <x v="40"/>
    <x v="2"/>
    <x v="0"/>
    <n v="7739.11"/>
    <n v="25"/>
    <x v="0"/>
    <n v="4037.73"/>
    <n v="4446.45"/>
    <x v="0"/>
    <n v="0.09"/>
    <x v="1"/>
    <x v="0"/>
    <x v="5"/>
    <n v="408.7199999999998"/>
  </r>
  <r>
    <n v="1013"/>
    <x v="129"/>
    <x v="1"/>
    <x v="1"/>
    <n v="5039.07"/>
    <n v="20"/>
    <x v="3"/>
    <n v="1533.36"/>
    <n v="1649.73999999999"/>
    <x v="0"/>
    <n v="0.1"/>
    <x v="1"/>
    <x v="0"/>
    <x v="16"/>
    <n v="116.3799999999901"/>
  </r>
  <r>
    <n v="1032"/>
    <x v="130"/>
    <x v="3"/>
    <x v="2"/>
    <n v="219.82"/>
    <n v="49"/>
    <x v="3"/>
    <n v="4812.41"/>
    <n v="5088"/>
    <x v="0"/>
    <n v="0.09"/>
    <x v="2"/>
    <x v="0"/>
    <x v="8"/>
    <n v="275.59000000000015"/>
  </r>
  <r>
    <n v="1071"/>
    <x v="131"/>
    <x v="4"/>
    <x v="3"/>
    <n v="189.48"/>
    <n v="22"/>
    <x v="3"/>
    <n v="2701.39"/>
    <n v="3185.81"/>
    <x v="1"/>
    <n v="0.01"/>
    <x v="1"/>
    <x v="0"/>
    <x v="17"/>
    <n v="484.42000000000007"/>
  </r>
  <r>
    <n v="1059"/>
    <x v="132"/>
    <x v="4"/>
    <x v="4"/>
    <n v="3634.59"/>
    <n v="21"/>
    <x v="2"/>
    <n v="3110.54"/>
    <n v="3192.99"/>
    <x v="1"/>
    <n v="0.17"/>
    <x v="2"/>
    <x v="0"/>
    <x v="17"/>
    <n v="82.449999999999818"/>
  </r>
  <r>
    <n v="1086"/>
    <x v="13"/>
    <x v="4"/>
    <x v="5"/>
    <n v="9269.32"/>
    <n v="33"/>
    <x v="2"/>
    <n v="3419.33"/>
    <n v="3890.3599999999901"/>
    <x v="0"/>
    <n v="0.21"/>
    <x v="0"/>
    <x v="1"/>
    <x v="9"/>
    <n v="471.0299999999902"/>
  </r>
  <r>
    <n v="1028"/>
    <x v="133"/>
    <x v="4"/>
    <x v="6"/>
    <n v="2363.9"/>
    <n v="38"/>
    <x v="2"/>
    <n v="3350.32"/>
    <n v="3449.94"/>
    <x v="1"/>
    <n v="0.26"/>
    <x v="0"/>
    <x v="0"/>
    <x v="15"/>
    <n v="99.619999999999891"/>
  </r>
  <r>
    <n v="1066"/>
    <x v="134"/>
    <x v="2"/>
    <x v="0"/>
    <n v="6380.2"/>
    <n v="15"/>
    <x v="0"/>
    <n v="2579.31"/>
    <n v="2867.36"/>
    <x v="0"/>
    <n v="0.04"/>
    <x v="1"/>
    <x v="1"/>
    <x v="19"/>
    <n v="288.05000000000018"/>
  </r>
  <r>
    <n v="1042"/>
    <x v="120"/>
    <x v="1"/>
    <x v="1"/>
    <n v="2298.5500000000002"/>
    <n v="46"/>
    <x v="0"/>
    <n v="2172.38"/>
    <n v="2367.11"/>
    <x v="1"/>
    <n v="0.16"/>
    <x v="0"/>
    <x v="1"/>
    <x v="2"/>
    <n v="194.73000000000002"/>
  </r>
  <r>
    <n v="1045"/>
    <x v="121"/>
    <x v="0"/>
    <x v="2"/>
    <n v="3284.53"/>
    <n v="15"/>
    <x v="3"/>
    <n v="316.22000000000003"/>
    <n v="799.04"/>
    <x v="1"/>
    <n v="0"/>
    <x v="1"/>
    <x v="0"/>
    <x v="3"/>
    <n v="482.81999999999994"/>
  </r>
  <r>
    <n v="1062"/>
    <x v="135"/>
    <x v="2"/>
    <x v="3"/>
    <n v="8495.6200000000008"/>
    <n v="46"/>
    <x v="0"/>
    <n v="159.32"/>
    <n v="303.36"/>
    <x v="1"/>
    <n v="0.03"/>
    <x v="0"/>
    <x v="1"/>
    <x v="19"/>
    <n v="144.04000000000002"/>
  </r>
  <r>
    <n v="1057"/>
    <x v="70"/>
    <x v="2"/>
    <x v="4"/>
    <n v="7315.73"/>
    <n v="25"/>
    <x v="1"/>
    <n v="1821.91"/>
    <n v="2027.74"/>
    <x v="1"/>
    <n v="0.02"/>
    <x v="1"/>
    <x v="1"/>
    <x v="5"/>
    <n v="205.82999999999993"/>
  </r>
  <r>
    <n v="1006"/>
    <x v="121"/>
    <x v="0"/>
    <x v="5"/>
    <n v="1044.45"/>
    <n v="21"/>
    <x v="3"/>
    <n v="1701.62"/>
    <n v="2193.2199999999998"/>
    <x v="1"/>
    <n v="0.22"/>
    <x v="1"/>
    <x v="1"/>
    <x v="12"/>
    <n v="491.59999999999991"/>
  </r>
  <r>
    <n v="1028"/>
    <x v="57"/>
    <x v="0"/>
    <x v="6"/>
    <n v="4344.1499999999996"/>
    <n v="24"/>
    <x v="3"/>
    <n v="1969.09"/>
    <n v="2241.96"/>
    <x v="0"/>
    <n v="0.02"/>
    <x v="2"/>
    <x v="0"/>
    <x v="12"/>
    <n v="272.87000000000012"/>
  </r>
  <r>
    <n v="1028"/>
    <x v="50"/>
    <x v="4"/>
    <x v="0"/>
    <n v="388.78"/>
    <n v="5"/>
    <x v="1"/>
    <n v="734.92"/>
    <n v="991.21"/>
    <x v="0"/>
    <n v="0.21"/>
    <x v="2"/>
    <x v="0"/>
    <x v="18"/>
    <n v="256.29000000000008"/>
  </r>
  <r>
    <n v="1044"/>
    <x v="136"/>
    <x v="2"/>
    <x v="1"/>
    <n v="4860.8100000000004"/>
    <n v="6"/>
    <x v="3"/>
    <n v="3703.93"/>
    <n v="3840.24"/>
    <x v="1"/>
    <n v="7.0000000000000007E-2"/>
    <x v="2"/>
    <x v="0"/>
    <x v="5"/>
    <n v="136.30999999999995"/>
  </r>
  <r>
    <n v="1084"/>
    <x v="46"/>
    <x v="3"/>
    <x v="2"/>
    <n v="6658.1"/>
    <n v="49"/>
    <x v="0"/>
    <n v="4291.97"/>
    <n v="4645.6400000000003"/>
    <x v="0"/>
    <n v="0.26"/>
    <x v="2"/>
    <x v="0"/>
    <x v="7"/>
    <n v="353.67000000000007"/>
  </r>
  <r>
    <n v="1030"/>
    <x v="75"/>
    <x v="0"/>
    <x v="3"/>
    <n v="1273.18"/>
    <n v="43"/>
    <x v="2"/>
    <n v="4696.6400000000003"/>
    <n v="4713.68"/>
    <x v="0"/>
    <n v="0.24"/>
    <x v="1"/>
    <x v="0"/>
    <x v="3"/>
    <n v="17.039999999999964"/>
  </r>
  <r>
    <n v="1062"/>
    <x v="25"/>
    <x v="0"/>
    <x v="4"/>
    <n v="2959.96"/>
    <n v="48"/>
    <x v="1"/>
    <n v="2487.19"/>
    <n v="2521.4499999999998"/>
    <x v="1"/>
    <n v="0.28999999999999998"/>
    <x v="0"/>
    <x v="0"/>
    <x v="0"/>
    <n v="34.259999999999764"/>
  </r>
  <r>
    <n v="1075"/>
    <x v="137"/>
    <x v="1"/>
    <x v="5"/>
    <n v="4038.58"/>
    <n v="44"/>
    <x v="0"/>
    <n v="3519.29"/>
    <n v="3822.98"/>
    <x v="0"/>
    <n v="0.27"/>
    <x v="1"/>
    <x v="0"/>
    <x v="13"/>
    <n v="303.69000000000005"/>
  </r>
  <r>
    <n v="1092"/>
    <x v="30"/>
    <x v="3"/>
    <x v="6"/>
    <n v="9203.36"/>
    <n v="47"/>
    <x v="1"/>
    <n v="4284.9799999999996"/>
    <n v="4462.3999999999996"/>
    <x v="1"/>
    <n v="0.28000000000000003"/>
    <x v="2"/>
    <x v="1"/>
    <x v="6"/>
    <n v="177.42000000000007"/>
  </r>
  <r>
    <n v="1089"/>
    <x v="138"/>
    <x v="3"/>
    <x v="0"/>
    <n v="9933.2199999999993"/>
    <n v="23"/>
    <x v="1"/>
    <n v="2120.54"/>
    <n v="2597.67"/>
    <x v="0"/>
    <n v="0.26"/>
    <x v="2"/>
    <x v="1"/>
    <x v="8"/>
    <n v="477.13000000000011"/>
  </r>
  <r>
    <n v="1062"/>
    <x v="9"/>
    <x v="0"/>
    <x v="1"/>
    <n v="544.62"/>
    <n v="4"/>
    <x v="3"/>
    <n v="1581.59"/>
    <n v="2034.1499999999901"/>
    <x v="0"/>
    <n v="0.21"/>
    <x v="0"/>
    <x v="0"/>
    <x v="12"/>
    <n v="452.55999999999017"/>
  </r>
  <r>
    <n v="1097"/>
    <x v="139"/>
    <x v="4"/>
    <x v="2"/>
    <n v="7633.98"/>
    <n v="27"/>
    <x v="3"/>
    <n v="4686.79"/>
    <n v="5046.51"/>
    <x v="0"/>
    <n v="0.05"/>
    <x v="2"/>
    <x v="1"/>
    <x v="18"/>
    <n v="359.72000000000025"/>
  </r>
  <r>
    <n v="1001"/>
    <x v="140"/>
    <x v="1"/>
    <x v="3"/>
    <n v="3780.07"/>
    <n v="18"/>
    <x v="0"/>
    <n v="2602.6"/>
    <n v="3013.49"/>
    <x v="0"/>
    <n v="0.08"/>
    <x v="1"/>
    <x v="0"/>
    <x v="13"/>
    <n v="410.88999999999987"/>
  </r>
  <r>
    <n v="1027"/>
    <x v="83"/>
    <x v="3"/>
    <x v="4"/>
    <n v="3985.34"/>
    <n v="21"/>
    <x v="1"/>
    <n v="2511.41"/>
    <n v="2848.3999999999901"/>
    <x v="0"/>
    <n v="0.06"/>
    <x v="1"/>
    <x v="0"/>
    <x v="6"/>
    <n v="336.98999999999023"/>
  </r>
  <r>
    <n v="1062"/>
    <x v="141"/>
    <x v="0"/>
    <x v="5"/>
    <n v="7567.22"/>
    <n v="28"/>
    <x v="3"/>
    <n v="933.16"/>
    <n v="1004.69999999999"/>
    <x v="0"/>
    <n v="0.18"/>
    <x v="1"/>
    <x v="0"/>
    <x v="3"/>
    <n v="71.539999999990073"/>
  </r>
  <r>
    <n v="1077"/>
    <x v="142"/>
    <x v="3"/>
    <x v="6"/>
    <n v="9192.42"/>
    <n v="35"/>
    <x v="3"/>
    <n v="585.37"/>
    <n v="970.49"/>
    <x v="0"/>
    <n v="0.15"/>
    <x v="1"/>
    <x v="1"/>
    <x v="7"/>
    <n v="385.12"/>
  </r>
  <r>
    <n v="1003"/>
    <x v="124"/>
    <x v="1"/>
    <x v="0"/>
    <n v="9514.19"/>
    <n v="22"/>
    <x v="1"/>
    <n v="4218.43"/>
    <n v="4331.42"/>
    <x v="1"/>
    <n v="0.26"/>
    <x v="1"/>
    <x v="0"/>
    <x v="16"/>
    <n v="112.98999999999978"/>
  </r>
  <r>
    <n v="1070"/>
    <x v="128"/>
    <x v="1"/>
    <x v="1"/>
    <n v="5813.51"/>
    <n v="40"/>
    <x v="0"/>
    <n v="3089.96"/>
    <n v="3258.45"/>
    <x v="1"/>
    <n v="0.28999999999999998"/>
    <x v="0"/>
    <x v="0"/>
    <x v="11"/>
    <n v="168.48999999999978"/>
  </r>
  <r>
    <n v="1072"/>
    <x v="143"/>
    <x v="2"/>
    <x v="2"/>
    <n v="3635.5"/>
    <n v="23"/>
    <x v="0"/>
    <n v="1662.83"/>
    <n v="2074.25"/>
    <x v="1"/>
    <n v="0.12"/>
    <x v="1"/>
    <x v="0"/>
    <x v="19"/>
    <n v="411.42000000000007"/>
  </r>
  <r>
    <n v="1027"/>
    <x v="61"/>
    <x v="0"/>
    <x v="3"/>
    <n v="7896.74"/>
    <n v="3"/>
    <x v="1"/>
    <n v="999.09"/>
    <n v="1271.99"/>
    <x v="1"/>
    <n v="0.15"/>
    <x v="2"/>
    <x v="0"/>
    <x v="1"/>
    <n v="272.89999999999998"/>
  </r>
  <r>
    <n v="1009"/>
    <x v="39"/>
    <x v="1"/>
    <x v="4"/>
    <n v="2584.91"/>
    <n v="40"/>
    <x v="0"/>
    <n v="2799.71"/>
    <n v="3231.08"/>
    <x v="0"/>
    <n v="0.28999999999999998"/>
    <x v="2"/>
    <x v="1"/>
    <x v="13"/>
    <n v="431.36999999999989"/>
  </r>
  <r>
    <n v="1062"/>
    <x v="144"/>
    <x v="2"/>
    <x v="5"/>
    <n v="5684.33"/>
    <n v="10"/>
    <x v="3"/>
    <n v="2940.4"/>
    <n v="3054.79"/>
    <x v="0"/>
    <n v="0.08"/>
    <x v="2"/>
    <x v="0"/>
    <x v="19"/>
    <n v="114.38999999999987"/>
  </r>
  <r>
    <n v="1037"/>
    <x v="112"/>
    <x v="2"/>
    <x v="6"/>
    <n v="3649.93"/>
    <n v="25"/>
    <x v="1"/>
    <n v="1074.6199999999999"/>
    <n v="1382.4299999999901"/>
    <x v="0"/>
    <n v="0.24"/>
    <x v="2"/>
    <x v="1"/>
    <x v="4"/>
    <n v="307.80999999999017"/>
  </r>
  <r>
    <n v="1097"/>
    <x v="131"/>
    <x v="3"/>
    <x v="0"/>
    <n v="6600.65"/>
    <n v="49"/>
    <x v="3"/>
    <n v="4264.46"/>
    <n v="4315.5200000000004"/>
    <x v="1"/>
    <n v="7.0000000000000007E-2"/>
    <x v="0"/>
    <x v="1"/>
    <x v="8"/>
    <n v="51.0600000000004"/>
  </r>
  <r>
    <n v="1051"/>
    <x v="145"/>
    <x v="3"/>
    <x v="1"/>
    <n v="2479.9499999999998"/>
    <n v="8"/>
    <x v="2"/>
    <n v="467.11"/>
    <n v="792.21"/>
    <x v="1"/>
    <n v="0.2"/>
    <x v="2"/>
    <x v="0"/>
    <x v="7"/>
    <n v="325.10000000000002"/>
  </r>
  <r>
    <n v="1044"/>
    <x v="146"/>
    <x v="2"/>
    <x v="2"/>
    <n v="1996.77"/>
    <n v="11"/>
    <x v="2"/>
    <n v="1812.66"/>
    <n v="2196.3000000000002"/>
    <x v="1"/>
    <n v="0.08"/>
    <x v="0"/>
    <x v="0"/>
    <x v="19"/>
    <n v="383.6400000000001"/>
  </r>
  <r>
    <n v="1024"/>
    <x v="147"/>
    <x v="3"/>
    <x v="3"/>
    <n v="9190.57"/>
    <n v="5"/>
    <x v="0"/>
    <n v="3417.9"/>
    <n v="3714.52"/>
    <x v="0"/>
    <n v="0.27"/>
    <x v="2"/>
    <x v="1"/>
    <x v="7"/>
    <n v="296.61999999999989"/>
  </r>
  <r>
    <n v="1079"/>
    <x v="148"/>
    <x v="1"/>
    <x v="4"/>
    <n v="1107.8599999999999"/>
    <n v="45"/>
    <x v="2"/>
    <n v="1406.9"/>
    <n v="1547.35"/>
    <x v="1"/>
    <n v="0.17"/>
    <x v="0"/>
    <x v="1"/>
    <x v="11"/>
    <n v="140.44999999999982"/>
  </r>
  <r>
    <n v="1059"/>
    <x v="149"/>
    <x v="4"/>
    <x v="5"/>
    <n v="5108.9799999999996"/>
    <n v="37"/>
    <x v="3"/>
    <n v="4146.99"/>
    <n v="4172.3499999999904"/>
    <x v="0"/>
    <n v="0.06"/>
    <x v="0"/>
    <x v="1"/>
    <x v="15"/>
    <n v="25.359999999990578"/>
  </r>
  <r>
    <n v="1032"/>
    <x v="106"/>
    <x v="1"/>
    <x v="6"/>
    <n v="2286.44"/>
    <n v="45"/>
    <x v="2"/>
    <n v="3712.35"/>
    <n v="3780.88"/>
    <x v="1"/>
    <n v="7.0000000000000007E-2"/>
    <x v="0"/>
    <x v="1"/>
    <x v="11"/>
    <n v="68.5300000000002"/>
  </r>
  <r>
    <n v="1096"/>
    <x v="150"/>
    <x v="2"/>
    <x v="0"/>
    <n v="485.41"/>
    <n v="38"/>
    <x v="3"/>
    <n v="3955.66"/>
    <n v="4270.59"/>
    <x v="0"/>
    <n v="0.15"/>
    <x v="2"/>
    <x v="0"/>
    <x v="5"/>
    <n v="314.93000000000029"/>
  </r>
  <r>
    <n v="1088"/>
    <x v="1"/>
    <x v="2"/>
    <x v="1"/>
    <n v="456.59"/>
    <n v="29"/>
    <x v="0"/>
    <n v="639.58000000000004"/>
    <n v="1107.45"/>
    <x v="1"/>
    <n v="0.28999999999999998"/>
    <x v="0"/>
    <x v="1"/>
    <x v="4"/>
    <n v="467.87"/>
  </r>
  <r>
    <n v="1052"/>
    <x v="106"/>
    <x v="1"/>
    <x v="2"/>
    <n v="1834.7"/>
    <n v="5"/>
    <x v="0"/>
    <n v="745.71"/>
    <n v="856.91"/>
    <x v="0"/>
    <n v="0.23"/>
    <x v="1"/>
    <x v="1"/>
    <x v="11"/>
    <n v="111.19999999999993"/>
  </r>
  <r>
    <n v="1062"/>
    <x v="94"/>
    <x v="3"/>
    <x v="3"/>
    <n v="8681.0300000000007"/>
    <n v="9"/>
    <x v="3"/>
    <n v="1468.05"/>
    <n v="1838.21"/>
    <x v="1"/>
    <n v="0.15"/>
    <x v="1"/>
    <x v="1"/>
    <x v="6"/>
    <n v="370.16000000000008"/>
  </r>
  <r>
    <n v="1058"/>
    <x v="151"/>
    <x v="3"/>
    <x v="4"/>
    <n v="2896.54"/>
    <n v="48"/>
    <x v="2"/>
    <n v="2614.48"/>
    <n v="3049.04"/>
    <x v="1"/>
    <n v="0.1"/>
    <x v="2"/>
    <x v="1"/>
    <x v="8"/>
    <n v="434.55999999999995"/>
  </r>
  <r>
    <n v="1052"/>
    <x v="64"/>
    <x v="2"/>
    <x v="5"/>
    <n v="9509.5499999999993"/>
    <n v="2"/>
    <x v="0"/>
    <n v="3752.68"/>
    <n v="4017.91"/>
    <x v="0"/>
    <n v="0.16"/>
    <x v="1"/>
    <x v="0"/>
    <x v="5"/>
    <n v="265.23"/>
  </r>
  <r>
    <n v="1012"/>
    <x v="50"/>
    <x v="0"/>
    <x v="6"/>
    <n v="5858.06"/>
    <n v="1"/>
    <x v="1"/>
    <n v="4190.83"/>
    <n v="4528.7699999999904"/>
    <x v="0"/>
    <n v="0.22"/>
    <x v="1"/>
    <x v="0"/>
    <x v="0"/>
    <n v="337.9399999999905"/>
  </r>
  <r>
    <n v="1039"/>
    <x v="48"/>
    <x v="3"/>
    <x v="0"/>
    <n v="4422.4799999999996"/>
    <n v="40"/>
    <x v="0"/>
    <n v="3536.46"/>
    <n v="3945.82"/>
    <x v="1"/>
    <n v="0.24"/>
    <x v="1"/>
    <x v="0"/>
    <x v="8"/>
    <n v="409.36000000000013"/>
  </r>
  <r>
    <n v="1002"/>
    <x v="62"/>
    <x v="1"/>
    <x v="1"/>
    <n v="5842.88"/>
    <n v="30"/>
    <x v="2"/>
    <n v="4646.55"/>
    <n v="4784.28"/>
    <x v="0"/>
    <n v="0.1"/>
    <x v="2"/>
    <x v="1"/>
    <x v="11"/>
    <n v="137.72999999999956"/>
  </r>
  <r>
    <n v="1003"/>
    <x v="90"/>
    <x v="3"/>
    <x v="2"/>
    <n v="5215.3100000000004"/>
    <n v="11"/>
    <x v="1"/>
    <n v="3706.78"/>
    <n v="3862.26"/>
    <x v="1"/>
    <n v="0.22"/>
    <x v="2"/>
    <x v="1"/>
    <x v="14"/>
    <n v="155.48000000000002"/>
  </r>
  <r>
    <n v="1056"/>
    <x v="152"/>
    <x v="1"/>
    <x v="3"/>
    <n v="7611.88"/>
    <n v="28"/>
    <x v="2"/>
    <n v="1566.03"/>
    <n v="1576.34"/>
    <x v="0"/>
    <n v="0.2"/>
    <x v="1"/>
    <x v="0"/>
    <x v="16"/>
    <n v="10.309999999999945"/>
  </r>
  <r>
    <n v="1081"/>
    <x v="153"/>
    <x v="2"/>
    <x v="4"/>
    <n v="2896.71"/>
    <n v="44"/>
    <x v="3"/>
    <n v="1362.15"/>
    <n v="1844.07"/>
    <x v="1"/>
    <n v="0.28999999999999998"/>
    <x v="2"/>
    <x v="0"/>
    <x v="5"/>
    <n v="481.91999999999985"/>
  </r>
  <r>
    <n v="1059"/>
    <x v="154"/>
    <x v="3"/>
    <x v="5"/>
    <n v="3595.2"/>
    <n v="12"/>
    <x v="1"/>
    <n v="3496.15"/>
    <n v="3955.75"/>
    <x v="0"/>
    <n v="0.28000000000000003"/>
    <x v="0"/>
    <x v="1"/>
    <x v="8"/>
    <n v="459.59999999999991"/>
  </r>
  <r>
    <n v="1002"/>
    <x v="155"/>
    <x v="1"/>
    <x v="6"/>
    <n v="8951.5300000000007"/>
    <n v="39"/>
    <x v="2"/>
    <n v="1004.71"/>
    <n v="1389.35"/>
    <x v="1"/>
    <n v="0.24"/>
    <x v="1"/>
    <x v="0"/>
    <x v="2"/>
    <n v="384.63999999999987"/>
  </r>
  <r>
    <n v="1002"/>
    <x v="156"/>
    <x v="2"/>
    <x v="0"/>
    <n v="9469.92"/>
    <n v="26"/>
    <x v="1"/>
    <n v="508.94"/>
    <n v="557.69000000000005"/>
    <x v="1"/>
    <n v="0.22"/>
    <x v="2"/>
    <x v="1"/>
    <x v="5"/>
    <n v="48.750000000000057"/>
  </r>
  <r>
    <n v="1092"/>
    <x v="157"/>
    <x v="0"/>
    <x v="1"/>
    <n v="8936.33"/>
    <n v="13"/>
    <x v="2"/>
    <n v="2684.5"/>
    <n v="2913.78"/>
    <x v="1"/>
    <n v="0.08"/>
    <x v="2"/>
    <x v="1"/>
    <x v="3"/>
    <n v="229.2800000000002"/>
  </r>
  <r>
    <n v="1054"/>
    <x v="87"/>
    <x v="1"/>
    <x v="2"/>
    <n v="4252.54"/>
    <n v="8"/>
    <x v="1"/>
    <n v="4117.13"/>
    <n v="4177.0600000000004"/>
    <x v="0"/>
    <n v="0.25"/>
    <x v="1"/>
    <x v="1"/>
    <x v="16"/>
    <n v="59.930000000000291"/>
  </r>
  <r>
    <n v="1087"/>
    <x v="158"/>
    <x v="0"/>
    <x v="3"/>
    <n v="7825.62"/>
    <n v="28"/>
    <x v="2"/>
    <n v="551.83000000000004"/>
    <n v="569.63"/>
    <x v="1"/>
    <n v="0.13"/>
    <x v="2"/>
    <x v="1"/>
    <x v="12"/>
    <n v="17.799999999999955"/>
  </r>
  <r>
    <n v="1096"/>
    <x v="159"/>
    <x v="0"/>
    <x v="4"/>
    <n v="4815.72"/>
    <n v="30"/>
    <x v="3"/>
    <n v="3969.86"/>
    <n v="4281.79"/>
    <x v="0"/>
    <n v="0.08"/>
    <x v="1"/>
    <x v="1"/>
    <x v="0"/>
    <n v="311.92999999999984"/>
  </r>
  <r>
    <n v="1097"/>
    <x v="91"/>
    <x v="4"/>
    <x v="5"/>
    <n v="5025.6400000000003"/>
    <n v="9"/>
    <x v="1"/>
    <n v="4067.28"/>
    <n v="4548.09"/>
    <x v="0"/>
    <n v="0.12"/>
    <x v="2"/>
    <x v="1"/>
    <x v="18"/>
    <n v="480.80999999999995"/>
  </r>
  <r>
    <n v="1001"/>
    <x v="160"/>
    <x v="3"/>
    <x v="6"/>
    <n v="2126.33"/>
    <n v="39"/>
    <x v="1"/>
    <n v="2437.2600000000002"/>
    <n v="2889.67"/>
    <x v="0"/>
    <n v="0.25"/>
    <x v="0"/>
    <x v="0"/>
    <x v="6"/>
    <n v="452.40999999999985"/>
  </r>
  <r>
    <n v="1019"/>
    <x v="146"/>
    <x v="1"/>
    <x v="0"/>
    <n v="5952.19"/>
    <n v="31"/>
    <x v="1"/>
    <n v="333.69"/>
    <n v="685.1"/>
    <x v="1"/>
    <n v="0.04"/>
    <x v="1"/>
    <x v="0"/>
    <x v="13"/>
    <n v="351.41"/>
  </r>
  <r>
    <n v="1002"/>
    <x v="6"/>
    <x v="0"/>
    <x v="1"/>
    <n v="1942.75"/>
    <n v="21"/>
    <x v="1"/>
    <n v="914.22"/>
    <n v="971.57"/>
    <x v="0"/>
    <n v="0.14000000000000001"/>
    <x v="0"/>
    <x v="0"/>
    <x v="0"/>
    <n v="57.350000000000023"/>
  </r>
  <r>
    <n v="1053"/>
    <x v="145"/>
    <x v="4"/>
    <x v="2"/>
    <n v="3382.49"/>
    <n v="47"/>
    <x v="3"/>
    <n v="3551.76"/>
    <n v="3696.1"/>
    <x v="0"/>
    <n v="0.15"/>
    <x v="1"/>
    <x v="1"/>
    <x v="9"/>
    <n v="144.33999999999969"/>
  </r>
  <r>
    <n v="1044"/>
    <x v="161"/>
    <x v="2"/>
    <x v="3"/>
    <n v="8564.7999999999993"/>
    <n v="34"/>
    <x v="1"/>
    <n v="3573.3"/>
    <n v="3740.13"/>
    <x v="0"/>
    <n v="0.01"/>
    <x v="2"/>
    <x v="0"/>
    <x v="5"/>
    <n v="166.82999999999993"/>
  </r>
  <r>
    <n v="1090"/>
    <x v="162"/>
    <x v="1"/>
    <x v="4"/>
    <n v="2150.0500000000002"/>
    <n v="31"/>
    <x v="0"/>
    <n v="4496.8599999999997"/>
    <n v="4880.7999999999902"/>
    <x v="1"/>
    <n v="0.06"/>
    <x v="0"/>
    <x v="1"/>
    <x v="11"/>
    <n v="383.9399999999905"/>
  </r>
  <r>
    <n v="1032"/>
    <x v="163"/>
    <x v="0"/>
    <x v="5"/>
    <n v="804.47"/>
    <n v="25"/>
    <x v="3"/>
    <n v="2934.3"/>
    <n v="3337.4"/>
    <x v="0"/>
    <n v="0.25"/>
    <x v="2"/>
    <x v="1"/>
    <x v="12"/>
    <n v="403.09999999999991"/>
  </r>
  <r>
    <n v="1070"/>
    <x v="58"/>
    <x v="3"/>
    <x v="6"/>
    <n v="783.18"/>
    <n v="12"/>
    <x v="0"/>
    <n v="664.33"/>
    <n v="863.03"/>
    <x v="0"/>
    <n v="0.25"/>
    <x v="1"/>
    <x v="1"/>
    <x v="6"/>
    <n v="198.69999999999993"/>
  </r>
  <r>
    <n v="1032"/>
    <x v="78"/>
    <x v="4"/>
    <x v="0"/>
    <n v="9413.77"/>
    <n v="1"/>
    <x v="1"/>
    <n v="651"/>
    <n v="865.76"/>
    <x v="0"/>
    <n v="0.09"/>
    <x v="1"/>
    <x v="1"/>
    <x v="17"/>
    <n v="214.76"/>
  </r>
  <r>
    <n v="1068"/>
    <x v="164"/>
    <x v="0"/>
    <x v="1"/>
    <n v="5118.51"/>
    <n v="22"/>
    <x v="2"/>
    <n v="3619.61"/>
    <n v="3651.42"/>
    <x v="0"/>
    <n v="0.26"/>
    <x v="1"/>
    <x v="0"/>
    <x v="0"/>
    <n v="31.809999999999945"/>
  </r>
  <r>
    <n v="1055"/>
    <x v="165"/>
    <x v="3"/>
    <x v="2"/>
    <n v="4153.18"/>
    <n v="40"/>
    <x v="0"/>
    <n v="959.73"/>
    <n v="1111.4100000000001"/>
    <x v="1"/>
    <n v="0.23"/>
    <x v="1"/>
    <x v="0"/>
    <x v="7"/>
    <n v="151.68000000000006"/>
  </r>
  <r>
    <n v="1075"/>
    <x v="117"/>
    <x v="0"/>
    <x v="3"/>
    <n v="8127.7"/>
    <n v="37"/>
    <x v="1"/>
    <n v="1675.51"/>
    <n v="1906.6399999999901"/>
    <x v="1"/>
    <n v="0.13"/>
    <x v="1"/>
    <x v="0"/>
    <x v="12"/>
    <n v="231.1299999999901"/>
  </r>
  <r>
    <n v="1056"/>
    <x v="28"/>
    <x v="1"/>
    <x v="4"/>
    <n v="8374.68"/>
    <n v="47"/>
    <x v="0"/>
    <n v="2461.6999999999998"/>
    <n v="2529.02"/>
    <x v="0"/>
    <n v="0.22"/>
    <x v="0"/>
    <x v="1"/>
    <x v="13"/>
    <n v="67.320000000000164"/>
  </r>
  <r>
    <n v="1017"/>
    <x v="166"/>
    <x v="1"/>
    <x v="5"/>
    <n v="3388.69"/>
    <n v="1"/>
    <x v="1"/>
    <n v="172.59"/>
    <n v="404.69"/>
    <x v="0"/>
    <n v="0.28999999999999998"/>
    <x v="1"/>
    <x v="0"/>
    <x v="16"/>
    <n v="232.1"/>
  </r>
  <r>
    <n v="1038"/>
    <x v="163"/>
    <x v="1"/>
    <x v="6"/>
    <n v="6966.82"/>
    <n v="1"/>
    <x v="1"/>
    <n v="1281.6500000000001"/>
    <n v="1709.71"/>
    <x v="0"/>
    <n v="0.14000000000000001"/>
    <x v="2"/>
    <x v="0"/>
    <x v="16"/>
    <n v="428.05999999999995"/>
  </r>
  <r>
    <n v="1024"/>
    <x v="167"/>
    <x v="4"/>
    <x v="0"/>
    <n v="7734.12"/>
    <n v="42"/>
    <x v="1"/>
    <n v="2069.0500000000002"/>
    <n v="2363.9"/>
    <x v="0"/>
    <n v="7.0000000000000007E-2"/>
    <x v="0"/>
    <x v="0"/>
    <x v="17"/>
    <n v="294.84999999999991"/>
  </r>
  <r>
    <n v="1069"/>
    <x v="168"/>
    <x v="1"/>
    <x v="1"/>
    <n v="6581.04"/>
    <n v="42"/>
    <x v="2"/>
    <n v="1434.2"/>
    <n v="1482.88"/>
    <x v="1"/>
    <n v="0.28000000000000003"/>
    <x v="2"/>
    <x v="1"/>
    <x v="13"/>
    <n v="48.680000000000064"/>
  </r>
  <r>
    <n v="1098"/>
    <x v="96"/>
    <x v="3"/>
    <x v="2"/>
    <n v="1600.79"/>
    <n v="21"/>
    <x v="0"/>
    <n v="725.03"/>
    <n v="828.94999999999902"/>
    <x v="1"/>
    <n v="0.18"/>
    <x v="1"/>
    <x v="0"/>
    <x v="8"/>
    <n v="103.91999999999905"/>
  </r>
  <r>
    <n v="1070"/>
    <x v="113"/>
    <x v="0"/>
    <x v="3"/>
    <n v="8771.24"/>
    <n v="15"/>
    <x v="3"/>
    <n v="3653.66"/>
    <n v="3896.19"/>
    <x v="1"/>
    <n v="0.03"/>
    <x v="2"/>
    <x v="1"/>
    <x v="3"/>
    <n v="242.5300000000002"/>
  </r>
  <r>
    <n v="1086"/>
    <x v="169"/>
    <x v="2"/>
    <x v="4"/>
    <n v="5437.04"/>
    <n v="17"/>
    <x v="3"/>
    <n v="4075.08"/>
    <n v="4262.21"/>
    <x v="1"/>
    <n v="0.17"/>
    <x v="0"/>
    <x v="0"/>
    <x v="5"/>
    <n v="187.13000000000011"/>
  </r>
  <r>
    <n v="1011"/>
    <x v="170"/>
    <x v="3"/>
    <x v="5"/>
    <n v="2896.48"/>
    <n v="22"/>
    <x v="3"/>
    <n v="1324.52"/>
    <n v="1510.3"/>
    <x v="0"/>
    <n v="0.15"/>
    <x v="0"/>
    <x v="1"/>
    <x v="7"/>
    <n v="185.77999999999997"/>
  </r>
  <r>
    <n v="1016"/>
    <x v="59"/>
    <x v="3"/>
    <x v="6"/>
    <n v="4309.76"/>
    <n v="38"/>
    <x v="3"/>
    <n v="3883.38"/>
    <n v="4152.72"/>
    <x v="0"/>
    <n v="0.26"/>
    <x v="0"/>
    <x v="0"/>
    <x v="14"/>
    <n v="269.34000000000015"/>
  </r>
  <r>
    <n v="1097"/>
    <x v="37"/>
    <x v="1"/>
    <x v="0"/>
    <n v="471.95"/>
    <n v="35"/>
    <x v="1"/>
    <n v="1958.49"/>
    <n v="2254.84"/>
    <x v="1"/>
    <n v="0.16"/>
    <x v="2"/>
    <x v="0"/>
    <x v="2"/>
    <n v="296.35000000000014"/>
  </r>
  <r>
    <n v="1073"/>
    <x v="129"/>
    <x v="4"/>
    <x v="1"/>
    <n v="1365.88"/>
    <n v="45"/>
    <x v="0"/>
    <n v="2558.09"/>
    <n v="2958.55"/>
    <x v="1"/>
    <n v="0.08"/>
    <x v="0"/>
    <x v="0"/>
    <x v="17"/>
    <n v="400.46000000000004"/>
  </r>
  <r>
    <n v="1059"/>
    <x v="150"/>
    <x v="0"/>
    <x v="2"/>
    <n v="7678.91"/>
    <n v="16"/>
    <x v="0"/>
    <n v="4287.21"/>
    <n v="4464.28"/>
    <x v="0"/>
    <n v="0.2"/>
    <x v="2"/>
    <x v="1"/>
    <x v="3"/>
    <n v="177.06999999999971"/>
  </r>
  <r>
    <n v="1070"/>
    <x v="171"/>
    <x v="4"/>
    <x v="3"/>
    <n v="100.12"/>
    <n v="8"/>
    <x v="2"/>
    <n v="3762.27"/>
    <n v="4166.95"/>
    <x v="0"/>
    <n v="0.16"/>
    <x v="1"/>
    <x v="0"/>
    <x v="17"/>
    <n v="404.67999999999984"/>
  </r>
  <r>
    <n v="1080"/>
    <x v="172"/>
    <x v="0"/>
    <x v="4"/>
    <n v="4224"/>
    <n v="47"/>
    <x v="0"/>
    <n v="4035.33"/>
    <n v="4211.25"/>
    <x v="0"/>
    <n v="7.0000000000000007E-2"/>
    <x v="1"/>
    <x v="0"/>
    <x v="3"/>
    <n v="175.92000000000007"/>
  </r>
  <r>
    <n v="1093"/>
    <x v="173"/>
    <x v="0"/>
    <x v="5"/>
    <n v="5272.85"/>
    <n v="17"/>
    <x v="0"/>
    <n v="727.38"/>
    <n v="764.54"/>
    <x v="0"/>
    <n v="0.17"/>
    <x v="2"/>
    <x v="1"/>
    <x v="12"/>
    <n v="37.159999999999968"/>
  </r>
  <r>
    <n v="1003"/>
    <x v="174"/>
    <x v="4"/>
    <x v="6"/>
    <n v="640.88"/>
    <n v="17"/>
    <x v="0"/>
    <n v="395.11"/>
    <n v="676.66"/>
    <x v="0"/>
    <n v="0.25"/>
    <x v="0"/>
    <x v="1"/>
    <x v="18"/>
    <n v="281.54999999999995"/>
  </r>
  <r>
    <n v="1020"/>
    <x v="175"/>
    <x v="3"/>
    <x v="0"/>
    <n v="9733.4699999999993"/>
    <n v="26"/>
    <x v="2"/>
    <n v="4472.3500000000004"/>
    <n v="4770.42"/>
    <x v="1"/>
    <n v="0.01"/>
    <x v="2"/>
    <x v="1"/>
    <x v="7"/>
    <n v="298.06999999999971"/>
  </r>
  <r>
    <n v="1059"/>
    <x v="109"/>
    <x v="0"/>
    <x v="1"/>
    <n v="2338.64"/>
    <n v="13"/>
    <x v="3"/>
    <n v="1969.78"/>
    <n v="2437.6999999999998"/>
    <x v="1"/>
    <n v="0.19"/>
    <x v="2"/>
    <x v="1"/>
    <x v="0"/>
    <n v="467.91999999999985"/>
  </r>
  <r>
    <n v="1036"/>
    <x v="162"/>
    <x v="4"/>
    <x v="2"/>
    <n v="3111.57"/>
    <n v="17"/>
    <x v="0"/>
    <n v="1475"/>
    <n v="1840.77"/>
    <x v="0"/>
    <n v="0.1"/>
    <x v="2"/>
    <x v="0"/>
    <x v="17"/>
    <n v="365.77"/>
  </r>
  <r>
    <n v="1019"/>
    <x v="26"/>
    <x v="0"/>
    <x v="3"/>
    <n v="3109.03"/>
    <n v="38"/>
    <x v="2"/>
    <n v="3637.25"/>
    <n v="4096.96"/>
    <x v="0"/>
    <n v="0.09"/>
    <x v="1"/>
    <x v="0"/>
    <x v="12"/>
    <n v="459.71000000000004"/>
  </r>
  <r>
    <n v="1090"/>
    <x v="170"/>
    <x v="2"/>
    <x v="4"/>
    <n v="2381.12"/>
    <n v="17"/>
    <x v="2"/>
    <n v="4190.26"/>
    <n v="4645.3500000000004"/>
    <x v="1"/>
    <n v="0.12"/>
    <x v="2"/>
    <x v="1"/>
    <x v="10"/>
    <n v="455.09000000000015"/>
  </r>
  <r>
    <n v="1067"/>
    <x v="8"/>
    <x v="3"/>
    <x v="5"/>
    <n v="114.59"/>
    <n v="48"/>
    <x v="1"/>
    <n v="4319.32"/>
    <n v="4625.5599999999904"/>
    <x v="0"/>
    <n v="0.1"/>
    <x v="1"/>
    <x v="0"/>
    <x v="6"/>
    <n v="306.23999999999069"/>
  </r>
  <r>
    <n v="1019"/>
    <x v="18"/>
    <x v="1"/>
    <x v="6"/>
    <n v="7320.51"/>
    <n v="14"/>
    <x v="2"/>
    <n v="1614.19"/>
    <n v="1882.79"/>
    <x v="1"/>
    <n v="0.25"/>
    <x v="2"/>
    <x v="1"/>
    <x v="2"/>
    <n v="268.59999999999991"/>
  </r>
  <r>
    <n v="1020"/>
    <x v="176"/>
    <x v="0"/>
    <x v="0"/>
    <n v="9671.77"/>
    <n v="45"/>
    <x v="3"/>
    <n v="4268.45"/>
    <n v="4551.5999999999904"/>
    <x v="1"/>
    <n v="0.08"/>
    <x v="1"/>
    <x v="0"/>
    <x v="0"/>
    <n v="283.14999999999054"/>
  </r>
  <r>
    <n v="1096"/>
    <x v="67"/>
    <x v="2"/>
    <x v="1"/>
    <n v="2320.5100000000002"/>
    <n v="6"/>
    <x v="0"/>
    <n v="252.62"/>
    <n v="742"/>
    <x v="1"/>
    <n v="0.22"/>
    <x v="2"/>
    <x v="1"/>
    <x v="10"/>
    <n v="489.38"/>
  </r>
  <r>
    <n v="1071"/>
    <x v="177"/>
    <x v="1"/>
    <x v="2"/>
    <n v="6664.17"/>
    <n v="35"/>
    <x v="2"/>
    <n v="295.82"/>
    <n v="684.67"/>
    <x v="1"/>
    <n v="0.03"/>
    <x v="2"/>
    <x v="0"/>
    <x v="11"/>
    <n v="388.84999999999997"/>
  </r>
  <r>
    <n v="1052"/>
    <x v="178"/>
    <x v="1"/>
    <x v="3"/>
    <n v="7444.77"/>
    <n v="46"/>
    <x v="3"/>
    <n v="3136.42"/>
    <n v="3198.49"/>
    <x v="0"/>
    <n v="0.28999999999999998"/>
    <x v="0"/>
    <x v="1"/>
    <x v="11"/>
    <n v="62.069999999999709"/>
  </r>
  <r>
    <n v="1033"/>
    <x v="113"/>
    <x v="0"/>
    <x v="4"/>
    <n v="8499.41"/>
    <n v="14"/>
    <x v="2"/>
    <n v="362.38"/>
    <n v="753.81"/>
    <x v="0"/>
    <n v="0.19"/>
    <x v="0"/>
    <x v="1"/>
    <x v="1"/>
    <n v="391.42999999999995"/>
  </r>
  <r>
    <n v="1040"/>
    <x v="16"/>
    <x v="4"/>
    <x v="5"/>
    <n v="4284.03"/>
    <n v="47"/>
    <x v="2"/>
    <n v="1656.82"/>
    <n v="1750.3799999999901"/>
    <x v="1"/>
    <n v="0.21"/>
    <x v="2"/>
    <x v="0"/>
    <x v="9"/>
    <n v="93.559999999990168"/>
  </r>
  <r>
    <n v="1039"/>
    <x v="168"/>
    <x v="0"/>
    <x v="6"/>
    <n v="3099.02"/>
    <n v="8"/>
    <x v="2"/>
    <n v="3380.14"/>
    <n v="3609.3399999999901"/>
    <x v="0"/>
    <n v="0.09"/>
    <x v="2"/>
    <x v="0"/>
    <x v="3"/>
    <n v="229.19999999999027"/>
  </r>
  <r>
    <n v="1082"/>
    <x v="179"/>
    <x v="2"/>
    <x v="0"/>
    <n v="3320.42"/>
    <n v="15"/>
    <x v="2"/>
    <n v="1719.47"/>
    <n v="1832.6"/>
    <x v="0"/>
    <n v="0.12"/>
    <x v="2"/>
    <x v="0"/>
    <x v="4"/>
    <n v="113.12999999999988"/>
  </r>
  <r>
    <n v="1001"/>
    <x v="180"/>
    <x v="1"/>
    <x v="1"/>
    <n v="7154.95"/>
    <n v="27"/>
    <x v="2"/>
    <n v="939.02"/>
    <n v="1286.92"/>
    <x v="0"/>
    <n v="7.0000000000000007E-2"/>
    <x v="2"/>
    <x v="1"/>
    <x v="13"/>
    <n v="347.90000000000009"/>
  </r>
  <r>
    <n v="1011"/>
    <x v="181"/>
    <x v="0"/>
    <x v="2"/>
    <n v="8186.12"/>
    <n v="13"/>
    <x v="3"/>
    <n v="1442.69"/>
    <n v="1882.57"/>
    <x v="0"/>
    <n v="0.28000000000000003"/>
    <x v="0"/>
    <x v="0"/>
    <x v="12"/>
    <n v="439.87999999999988"/>
  </r>
  <r>
    <n v="1092"/>
    <x v="76"/>
    <x v="4"/>
    <x v="3"/>
    <n v="1897.98"/>
    <n v="49"/>
    <x v="0"/>
    <n v="2315"/>
    <n v="2467.2800000000002"/>
    <x v="1"/>
    <n v="0.15"/>
    <x v="1"/>
    <x v="1"/>
    <x v="17"/>
    <n v="152.2800000000002"/>
  </r>
  <r>
    <n v="1057"/>
    <x v="92"/>
    <x v="0"/>
    <x v="4"/>
    <n v="3772.32"/>
    <n v="31"/>
    <x v="0"/>
    <n v="2403.16"/>
    <n v="2453.35"/>
    <x v="0"/>
    <n v="0.19"/>
    <x v="2"/>
    <x v="0"/>
    <x v="3"/>
    <n v="50.190000000000055"/>
  </r>
  <r>
    <n v="1089"/>
    <x v="177"/>
    <x v="3"/>
    <x v="5"/>
    <n v="9029.2099999999991"/>
    <n v="35"/>
    <x v="0"/>
    <n v="3925.85"/>
    <n v="4082.1099999999901"/>
    <x v="1"/>
    <n v="0.22"/>
    <x v="0"/>
    <x v="0"/>
    <x v="7"/>
    <n v="156.25999999999021"/>
  </r>
  <r>
    <n v="1050"/>
    <x v="141"/>
    <x v="4"/>
    <x v="6"/>
    <n v="8086.27"/>
    <n v="6"/>
    <x v="0"/>
    <n v="3763.26"/>
    <n v="4102.72"/>
    <x v="1"/>
    <n v="0.11"/>
    <x v="2"/>
    <x v="1"/>
    <x v="15"/>
    <n v="339.46000000000004"/>
  </r>
  <r>
    <n v="1023"/>
    <x v="40"/>
    <x v="2"/>
    <x v="0"/>
    <n v="9850.1"/>
    <n v="5"/>
    <x v="3"/>
    <n v="2311.25"/>
    <n v="2482.34"/>
    <x v="0"/>
    <n v="0.22"/>
    <x v="2"/>
    <x v="1"/>
    <x v="19"/>
    <n v="171.09000000000015"/>
  </r>
  <r>
    <n v="1031"/>
    <x v="182"/>
    <x v="1"/>
    <x v="1"/>
    <n v="7567.06"/>
    <n v="22"/>
    <x v="1"/>
    <n v="4236.05"/>
    <n v="4382.32"/>
    <x v="1"/>
    <n v="0.2"/>
    <x v="1"/>
    <x v="0"/>
    <x v="11"/>
    <n v="146.26999999999953"/>
  </r>
  <r>
    <n v="1094"/>
    <x v="113"/>
    <x v="0"/>
    <x v="2"/>
    <n v="3992.63"/>
    <n v="49"/>
    <x v="1"/>
    <n v="615.47"/>
    <n v="715.84"/>
    <x v="0"/>
    <n v="0.21"/>
    <x v="2"/>
    <x v="1"/>
    <x v="0"/>
    <n v="100.37"/>
  </r>
  <r>
    <n v="1042"/>
    <x v="183"/>
    <x v="4"/>
    <x v="3"/>
    <n v="5947.31"/>
    <n v="23"/>
    <x v="3"/>
    <n v="1314"/>
    <n v="1567.78"/>
    <x v="0"/>
    <n v="0.15"/>
    <x v="2"/>
    <x v="1"/>
    <x v="18"/>
    <n v="253.77999999999997"/>
  </r>
  <r>
    <n v="1099"/>
    <x v="143"/>
    <x v="3"/>
    <x v="4"/>
    <n v="6644.04"/>
    <n v="25"/>
    <x v="3"/>
    <n v="4148.4799999999996"/>
    <n v="4293.6899999999996"/>
    <x v="1"/>
    <n v="0.11"/>
    <x v="1"/>
    <x v="0"/>
    <x v="8"/>
    <n v="145.21000000000004"/>
  </r>
  <r>
    <n v="1007"/>
    <x v="180"/>
    <x v="4"/>
    <x v="5"/>
    <n v="876.71"/>
    <n v="34"/>
    <x v="2"/>
    <n v="1921.07"/>
    <n v="2289.27"/>
    <x v="0"/>
    <n v="7.0000000000000007E-2"/>
    <x v="1"/>
    <x v="1"/>
    <x v="9"/>
    <n v="368.20000000000005"/>
  </r>
  <r>
    <n v="1016"/>
    <x v="184"/>
    <x v="3"/>
    <x v="6"/>
    <n v="5490.52"/>
    <n v="26"/>
    <x v="2"/>
    <n v="4906.8500000000004"/>
    <n v="4954.3900000000003"/>
    <x v="1"/>
    <n v="0.25"/>
    <x v="1"/>
    <x v="0"/>
    <x v="14"/>
    <n v="47.539999999999964"/>
  </r>
  <r>
    <n v="1090"/>
    <x v="160"/>
    <x v="2"/>
    <x v="0"/>
    <n v="7122.28"/>
    <n v="47"/>
    <x v="2"/>
    <n v="2357.9499999999998"/>
    <n v="2693.33"/>
    <x v="1"/>
    <n v="0.18"/>
    <x v="1"/>
    <x v="0"/>
    <x v="5"/>
    <n v="335.38000000000011"/>
  </r>
  <r>
    <n v="1060"/>
    <x v="185"/>
    <x v="1"/>
    <x v="1"/>
    <n v="1756.48"/>
    <n v="5"/>
    <x v="0"/>
    <n v="3970.08"/>
    <n v="4096.4799999999996"/>
    <x v="0"/>
    <n v="0.13"/>
    <x v="0"/>
    <x v="1"/>
    <x v="11"/>
    <n v="126.39999999999964"/>
  </r>
  <r>
    <n v="1002"/>
    <x v="149"/>
    <x v="2"/>
    <x v="2"/>
    <n v="7828.25"/>
    <n v="26"/>
    <x v="2"/>
    <n v="2041.42"/>
    <n v="2291.17"/>
    <x v="0"/>
    <n v="0.28000000000000003"/>
    <x v="0"/>
    <x v="0"/>
    <x v="5"/>
    <n v="249.75"/>
  </r>
  <r>
    <n v="1001"/>
    <x v="186"/>
    <x v="0"/>
    <x v="3"/>
    <n v="5879.35"/>
    <n v="20"/>
    <x v="1"/>
    <n v="2153.52"/>
    <n v="2303.6999999999998"/>
    <x v="0"/>
    <n v="0.01"/>
    <x v="0"/>
    <x v="1"/>
    <x v="1"/>
    <n v="150.17999999999984"/>
  </r>
  <r>
    <n v="1048"/>
    <x v="187"/>
    <x v="4"/>
    <x v="4"/>
    <n v="9527"/>
    <n v="6"/>
    <x v="0"/>
    <n v="1945.27"/>
    <n v="2309.4299999999998"/>
    <x v="1"/>
    <n v="0.26"/>
    <x v="2"/>
    <x v="0"/>
    <x v="15"/>
    <n v="364.15999999999985"/>
  </r>
  <r>
    <n v="1012"/>
    <x v="24"/>
    <x v="3"/>
    <x v="5"/>
    <n v="519.98"/>
    <n v="6"/>
    <x v="2"/>
    <n v="3609.42"/>
    <n v="4082.62"/>
    <x v="0"/>
    <n v="0.3"/>
    <x v="1"/>
    <x v="1"/>
    <x v="7"/>
    <n v="473.19999999999982"/>
  </r>
  <r>
    <n v="1069"/>
    <x v="188"/>
    <x v="3"/>
    <x v="6"/>
    <n v="2726.73"/>
    <n v="18"/>
    <x v="0"/>
    <n v="2760.21"/>
    <n v="3219.58"/>
    <x v="1"/>
    <n v="0.27"/>
    <x v="1"/>
    <x v="1"/>
    <x v="7"/>
    <n v="459.36999999999989"/>
  </r>
  <r>
    <n v="1037"/>
    <x v="189"/>
    <x v="4"/>
    <x v="0"/>
    <n v="6055.38"/>
    <n v="4"/>
    <x v="1"/>
    <n v="4721.7"/>
    <n v="5017.58"/>
    <x v="1"/>
    <n v="0.24"/>
    <x v="0"/>
    <x v="1"/>
    <x v="9"/>
    <n v="295.88000000000011"/>
  </r>
  <r>
    <n v="1032"/>
    <x v="178"/>
    <x v="4"/>
    <x v="1"/>
    <n v="3035.94"/>
    <n v="17"/>
    <x v="2"/>
    <n v="1291.9100000000001"/>
    <n v="1528.59"/>
    <x v="0"/>
    <n v="0.11"/>
    <x v="2"/>
    <x v="1"/>
    <x v="15"/>
    <n v="236.67999999999984"/>
  </r>
  <r>
    <n v="1009"/>
    <x v="82"/>
    <x v="0"/>
    <x v="2"/>
    <n v="7172.8"/>
    <n v="14"/>
    <x v="1"/>
    <n v="547.79"/>
    <n v="958.76"/>
    <x v="0"/>
    <n v="7.0000000000000007E-2"/>
    <x v="2"/>
    <x v="1"/>
    <x v="3"/>
    <n v="410.97"/>
  </r>
  <r>
    <n v="1099"/>
    <x v="95"/>
    <x v="2"/>
    <x v="3"/>
    <n v="7614.15"/>
    <n v="14"/>
    <x v="1"/>
    <n v="1996.64"/>
    <n v="2341.4699999999998"/>
    <x v="0"/>
    <n v="0.22"/>
    <x v="2"/>
    <x v="0"/>
    <x v="19"/>
    <n v="344.8299999999997"/>
  </r>
  <r>
    <n v="1019"/>
    <x v="190"/>
    <x v="3"/>
    <x v="4"/>
    <n v="1114.9100000000001"/>
    <n v="13"/>
    <x v="1"/>
    <n v="3102.73"/>
    <n v="3202.68"/>
    <x v="1"/>
    <n v="0.09"/>
    <x v="0"/>
    <x v="0"/>
    <x v="6"/>
    <n v="99.949999999999818"/>
  </r>
  <r>
    <n v="1048"/>
    <x v="191"/>
    <x v="0"/>
    <x v="5"/>
    <n v="5187.16"/>
    <n v="7"/>
    <x v="2"/>
    <n v="4310.95"/>
    <n v="4723.2"/>
    <x v="0"/>
    <n v="0.05"/>
    <x v="2"/>
    <x v="1"/>
    <x v="1"/>
    <n v="412.25"/>
  </r>
  <r>
    <n v="1080"/>
    <x v="192"/>
    <x v="2"/>
    <x v="6"/>
    <n v="5138.0200000000004"/>
    <n v="44"/>
    <x v="3"/>
    <n v="1763.67"/>
    <n v="1983.82"/>
    <x v="1"/>
    <n v="0.24"/>
    <x v="2"/>
    <x v="0"/>
    <x v="4"/>
    <n v="220.14999999999986"/>
  </r>
  <r>
    <n v="1003"/>
    <x v="160"/>
    <x v="0"/>
    <x v="0"/>
    <n v="3755.88"/>
    <n v="15"/>
    <x v="2"/>
    <n v="3286.24"/>
    <n v="3388.8399999999901"/>
    <x v="0"/>
    <n v="0.09"/>
    <x v="2"/>
    <x v="1"/>
    <x v="1"/>
    <n v="102.59999999999036"/>
  </r>
  <r>
    <n v="1020"/>
    <x v="101"/>
    <x v="3"/>
    <x v="1"/>
    <n v="9335.9599999999991"/>
    <n v="19"/>
    <x v="1"/>
    <n v="1783.48"/>
    <n v="1931.56"/>
    <x v="0"/>
    <n v="0.27"/>
    <x v="1"/>
    <x v="1"/>
    <x v="8"/>
    <n v="148.07999999999993"/>
  </r>
  <r>
    <n v="1024"/>
    <x v="193"/>
    <x v="4"/>
    <x v="2"/>
    <n v="8292.31"/>
    <n v="43"/>
    <x v="2"/>
    <n v="3105.24"/>
    <n v="3246.33"/>
    <x v="1"/>
    <n v="0.25"/>
    <x v="0"/>
    <x v="0"/>
    <x v="15"/>
    <n v="141.09000000000015"/>
  </r>
  <r>
    <n v="1054"/>
    <x v="43"/>
    <x v="4"/>
    <x v="3"/>
    <n v="7002.37"/>
    <n v="47"/>
    <x v="1"/>
    <n v="4429.8"/>
    <n v="4694.21"/>
    <x v="1"/>
    <n v="0.25"/>
    <x v="1"/>
    <x v="0"/>
    <x v="9"/>
    <n v="264.40999999999985"/>
  </r>
  <r>
    <n v="1033"/>
    <x v="55"/>
    <x v="2"/>
    <x v="4"/>
    <n v="7171.83"/>
    <n v="44"/>
    <x v="3"/>
    <n v="1195.22"/>
    <n v="1320.06"/>
    <x v="0"/>
    <n v="0.23"/>
    <x v="1"/>
    <x v="1"/>
    <x v="4"/>
    <n v="124.83999999999992"/>
  </r>
  <r>
    <n v="1024"/>
    <x v="194"/>
    <x v="1"/>
    <x v="5"/>
    <n v="4670.99"/>
    <n v="35"/>
    <x v="0"/>
    <n v="2051"/>
    <n v="2121.5500000000002"/>
    <x v="0"/>
    <n v="0.26"/>
    <x v="0"/>
    <x v="1"/>
    <x v="11"/>
    <n v="70.550000000000182"/>
  </r>
  <r>
    <n v="1075"/>
    <x v="195"/>
    <x v="2"/>
    <x v="6"/>
    <n v="9217.85"/>
    <n v="17"/>
    <x v="3"/>
    <n v="4966.66"/>
    <n v="5037.2699999999904"/>
    <x v="0"/>
    <n v="0.24"/>
    <x v="1"/>
    <x v="1"/>
    <x v="19"/>
    <n v="70.609999999990578"/>
  </r>
  <r>
    <n v="1072"/>
    <x v="196"/>
    <x v="1"/>
    <x v="0"/>
    <n v="6976.49"/>
    <n v="35"/>
    <x v="3"/>
    <n v="4349.3599999999997"/>
    <n v="4645.17"/>
    <x v="0"/>
    <n v="0.18"/>
    <x v="2"/>
    <x v="1"/>
    <x v="11"/>
    <n v="295.8100000000004"/>
  </r>
  <r>
    <n v="1036"/>
    <x v="78"/>
    <x v="0"/>
    <x v="1"/>
    <n v="7316.91"/>
    <n v="19"/>
    <x v="0"/>
    <n v="2844.97"/>
    <n v="3215"/>
    <x v="0"/>
    <n v="0.09"/>
    <x v="2"/>
    <x v="1"/>
    <x v="1"/>
    <n v="370.0300000000002"/>
  </r>
  <r>
    <n v="1038"/>
    <x v="102"/>
    <x v="0"/>
    <x v="2"/>
    <n v="8630.74"/>
    <n v="20"/>
    <x v="2"/>
    <n v="2607.31"/>
    <n v="2774.86"/>
    <x v="1"/>
    <n v="0.27"/>
    <x v="2"/>
    <x v="1"/>
    <x v="3"/>
    <n v="167.55000000000018"/>
  </r>
  <r>
    <n v="1084"/>
    <x v="2"/>
    <x v="3"/>
    <x v="3"/>
    <n v="2813.31"/>
    <n v="36"/>
    <x v="0"/>
    <n v="1458.77"/>
    <n v="1485.75"/>
    <x v="1"/>
    <n v="0.25"/>
    <x v="2"/>
    <x v="0"/>
    <x v="6"/>
    <n v="26.980000000000018"/>
  </r>
  <r>
    <n v="1099"/>
    <x v="164"/>
    <x v="1"/>
    <x v="4"/>
    <n v="8090"/>
    <n v="35"/>
    <x v="2"/>
    <n v="2610.19"/>
    <n v="2682.53"/>
    <x v="1"/>
    <n v="0.14000000000000001"/>
    <x v="0"/>
    <x v="1"/>
    <x v="16"/>
    <n v="72.340000000000146"/>
  </r>
  <r>
    <n v="1089"/>
    <x v="197"/>
    <x v="3"/>
    <x v="5"/>
    <n v="2032.88"/>
    <n v="32"/>
    <x v="2"/>
    <n v="4248.5"/>
    <n v="4706.7"/>
    <x v="1"/>
    <n v="0.01"/>
    <x v="1"/>
    <x v="1"/>
    <x v="6"/>
    <n v="458.19999999999982"/>
  </r>
  <r>
    <n v="1099"/>
    <x v="198"/>
    <x v="4"/>
    <x v="6"/>
    <n v="3518.89"/>
    <n v="48"/>
    <x v="1"/>
    <n v="3441.61"/>
    <n v="3693.45"/>
    <x v="0"/>
    <n v="0.19"/>
    <x v="1"/>
    <x v="0"/>
    <x v="9"/>
    <n v="251.83999999999969"/>
  </r>
  <r>
    <n v="1025"/>
    <x v="108"/>
    <x v="1"/>
    <x v="0"/>
    <n v="3422.54"/>
    <n v="44"/>
    <x v="1"/>
    <n v="1485.72"/>
    <n v="1717.97"/>
    <x v="1"/>
    <n v="0.02"/>
    <x v="2"/>
    <x v="1"/>
    <x v="11"/>
    <n v="232.25"/>
  </r>
  <r>
    <n v="1093"/>
    <x v="199"/>
    <x v="2"/>
    <x v="1"/>
    <n v="9787.4"/>
    <n v="40"/>
    <x v="0"/>
    <n v="1047.25"/>
    <n v="1075.8900000000001"/>
    <x v="1"/>
    <n v="0.28000000000000003"/>
    <x v="2"/>
    <x v="1"/>
    <x v="19"/>
    <n v="28.6400000000001"/>
  </r>
  <r>
    <n v="1018"/>
    <x v="200"/>
    <x v="4"/>
    <x v="2"/>
    <n v="8579.7199999999993"/>
    <n v="24"/>
    <x v="3"/>
    <n v="1362.78"/>
    <n v="1729.81"/>
    <x v="1"/>
    <n v="0.28999999999999998"/>
    <x v="1"/>
    <x v="0"/>
    <x v="17"/>
    <n v="367.03"/>
  </r>
  <r>
    <n v="1082"/>
    <x v="201"/>
    <x v="4"/>
    <x v="3"/>
    <n v="7041.58"/>
    <n v="17"/>
    <x v="0"/>
    <n v="890.31"/>
    <n v="1159.06"/>
    <x v="0"/>
    <n v="0.06"/>
    <x v="0"/>
    <x v="1"/>
    <x v="15"/>
    <n v="268.75"/>
  </r>
  <r>
    <n v="1066"/>
    <x v="202"/>
    <x v="2"/>
    <x v="4"/>
    <n v="7297.86"/>
    <n v="7"/>
    <x v="2"/>
    <n v="523.41999999999996"/>
    <n v="632.43999999999903"/>
    <x v="1"/>
    <n v="0.2"/>
    <x v="1"/>
    <x v="0"/>
    <x v="19"/>
    <n v="109.01999999999907"/>
  </r>
  <r>
    <n v="1054"/>
    <x v="164"/>
    <x v="4"/>
    <x v="5"/>
    <n v="5664.52"/>
    <n v="43"/>
    <x v="1"/>
    <n v="2124.7199999999998"/>
    <n v="2188.66"/>
    <x v="0"/>
    <n v="0.03"/>
    <x v="2"/>
    <x v="1"/>
    <x v="15"/>
    <n v="63.940000000000055"/>
  </r>
  <r>
    <n v="1035"/>
    <x v="108"/>
    <x v="1"/>
    <x v="6"/>
    <n v="9476.2000000000007"/>
    <n v="1"/>
    <x v="0"/>
    <n v="610.83000000000004"/>
    <n v="808.69"/>
    <x v="1"/>
    <n v="0.22"/>
    <x v="2"/>
    <x v="0"/>
    <x v="11"/>
    <n v="197.86"/>
  </r>
  <r>
    <n v="1080"/>
    <x v="68"/>
    <x v="3"/>
    <x v="0"/>
    <n v="5012.96"/>
    <n v="35"/>
    <x v="0"/>
    <n v="900.97"/>
    <n v="1321.18"/>
    <x v="0"/>
    <n v="0.1"/>
    <x v="0"/>
    <x v="0"/>
    <x v="8"/>
    <n v="420.21000000000004"/>
  </r>
  <r>
    <n v="1061"/>
    <x v="89"/>
    <x v="4"/>
    <x v="1"/>
    <n v="3867.13"/>
    <n v="32"/>
    <x v="1"/>
    <n v="2759.26"/>
    <n v="3193.25"/>
    <x v="1"/>
    <n v="0.2"/>
    <x v="1"/>
    <x v="0"/>
    <x v="15"/>
    <n v="433.98999999999978"/>
  </r>
  <r>
    <n v="1041"/>
    <x v="203"/>
    <x v="1"/>
    <x v="2"/>
    <n v="1714.05"/>
    <n v="36"/>
    <x v="1"/>
    <n v="864.77"/>
    <n v="1170.1599999999901"/>
    <x v="0"/>
    <n v="0.11"/>
    <x v="0"/>
    <x v="1"/>
    <x v="16"/>
    <n v="305.3899999999901"/>
  </r>
  <r>
    <n v="1100"/>
    <x v="77"/>
    <x v="0"/>
    <x v="3"/>
    <n v="7883.44"/>
    <n v="13"/>
    <x v="1"/>
    <n v="366.2"/>
    <n v="732.69"/>
    <x v="1"/>
    <n v="0.04"/>
    <x v="0"/>
    <x v="1"/>
    <x v="12"/>
    <n v="366.49000000000007"/>
  </r>
  <r>
    <n v="1033"/>
    <x v="163"/>
    <x v="1"/>
    <x v="4"/>
    <n v="7370.99"/>
    <n v="6"/>
    <x v="2"/>
    <n v="1621.07"/>
    <n v="1687.5"/>
    <x v="0"/>
    <n v="0.12"/>
    <x v="2"/>
    <x v="0"/>
    <x v="16"/>
    <n v="66.430000000000064"/>
  </r>
  <r>
    <n v="1068"/>
    <x v="29"/>
    <x v="3"/>
    <x v="5"/>
    <n v="3905.11"/>
    <n v="14"/>
    <x v="1"/>
    <n v="1140.58"/>
    <n v="1438.76"/>
    <x v="0"/>
    <n v="0.03"/>
    <x v="1"/>
    <x v="0"/>
    <x v="14"/>
    <n v="298.18000000000006"/>
  </r>
  <r>
    <n v="1033"/>
    <x v="204"/>
    <x v="1"/>
    <x v="6"/>
    <n v="349.41"/>
    <n v="37"/>
    <x v="3"/>
    <n v="2600.7600000000002"/>
    <n v="2937.57"/>
    <x v="1"/>
    <n v="0.17"/>
    <x v="2"/>
    <x v="1"/>
    <x v="11"/>
    <n v="336.80999999999995"/>
  </r>
  <r>
    <n v="1014"/>
    <x v="205"/>
    <x v="2"/>
    <x v="0"/>
    <n v="8406.07"/>
    <n v="48"/>
    <x v="0"/>
    <n v="556.72"/>
    <n v="665.07"/>
    <x v="0"/>
    <n v="0.01"/>
    <x v="1"/>
    <x v="1"/>
    <x v="4"/>
    <n v="108.35000000000002"/>
  </r>
  <r>
    <n v="1021"/>
    <x v="90"/>
    <x v="3"/>
    <x v="1"/>
    <n v="213.04"/>
    <n v="15"/>
    <x v="1"/>
    <n v="3771.27"/>
    <n v="4212.55"/>
    <x v="0"/>
    <n v="0.16"/>
    <x v="2"/>
    <x v="1"/>
    <x v="7"/>
    <n v="441.2800000000002"/>
  </r>
  <r>
    <n v="1048"/>
    <x v="206"/>
    <x v="0"/>
    <x v="2"/>
    <n v="7066.63"/>
    <n v="47"/>
    <x v="1"/>
    <n v="4535.8599999999997"/>
    <n v="4641.41"/>
    <x v="1"/>
    <n v="0.27"/>
    <x v="2"/>
    <x v="1"/>
    <x v="1"/>
    <n v="105.55000000000018"/>
  </r>
  <r>
    <n v="1020"/>
    <x v="207"/>
    <x v="2"/>
    <x v="3"/>
    <n v="9705.5499999999993"/>
    <n v="4"/>
    <x v="2"/>
    <n v="3730"/>
    <n v="3893.6"/>
    <x v="1"/>
    <n v="0.25"/>
    <x v="1"/>
    <x v="1"/>
    <x v="4"/>
    <n v="163.59999999999991"/>
  </r>
  <r>
    <n v="1008"/>
    <x v="208"/>
    <x v="1"/>
    <x v="4"/>
    <n v="4432.8500000000004"/>
    <n v="40"/>
    <x v="2"/>
    <n v="2687.49"/>
    <n v="3001.56"/>
    <x v="0"/>
    <n v="0.26"/>
    <x v="1"/>
    <x v="0"/>
    <x v="2"/>
    <n v="314.07000000000016"/>
  </r>
  <r>
    <n v="1007"/>
    <x v="14"/>
    <x v="3"/>
    <x v="5"/>
    <n v="2426.2399999999998"/>
    <n v="16"/>
    <x v="0"/>
    <n v="4310.3100000000004"/>
    <n v="4633.1000000000004"/>
    <x v="1"/>
    <n v="0.28000000000000003"/>
    <x v="2"/>
    <x v="1"/>
    <x v="14"/>
    <n v="322.78999999999996"/>
  </r>
  <r>
    <n v="1067"/>
    <x v="119"/>
    <x v="0"/>
    <x v="6"/>
    <n v="7078.22"/>
    <n v="28"/>
    <x v="3"/>
    <n v="3489.85"/>
    <n v="3842.5499999999902"/>
    <x v="1"/>
    <n v="0.03"/>
    <x v="1"/>
    <x v="0"/>
    <x v="12"/>
    <n v="352.69999999999027"/>
  </r>
  <r>
    <n v="1017"/>
    <x v="156"/>
    <x v="2"/>
    <x v="0"/>
    <n v="8189.57"/>
    <n v="16"/>
    <x v="0"/>
    <n v="102.23"/>
    <n v="167.12"/>
    <x v="1"/>
    <n v="0.04"/>
    <x v="2"/>
    <x v="1"/>
    <x v="19"/>
    <n v="64.89"/>
  </r>
  <r>
    <n v="1033"/>
    <x v="123"/>
    <x v="0"/>
    <x v="1"/>
    <n v="5509.66"/>
    <n v="4"/>
    <x v="1"/>
    <n v="2000.75"/>
    <n v="2426.9899999999998"/>
    <x v="0"/>
    <n v="0.17"/>
    <x v="1"/>
    <x v="0"/>
    <x v="12"/>
    <n v="426.23999999999978"/>
  </r>
  <r>
    <n v="1048"/>
    <x v="154"/>
    <x v="1"/>
    <x v="2"/>
    <n v="9673.65"/>
    <n v="45"/>
    <x v="3"/>
    <n v="4262.21"/>
    <n v="4533.3100000000004"/>
    <x v="0"/>
    <n v="0.27"/>
    <x v="2"/>
    <x v="0"/>
    <x v="2"/>
    <n v="271.10000000000036"/>
  </r>
  <r>
    <n v="1076"/>
    <x v="2"/>
    <x v="0"/>
    <x v="3"/>
    <n v="611.52"/>
    <n v="26"/>
    <x v="3"/>
    <n v="1762"/>
    <n v="2002.95"/>
    <x v="0"/>
    <n v="0.28999999999999998"/>
    <x v="2"/>
    <x v="1"/>
    <x v="0"/>
    <n v="240.95000000000005"/>
  </r>
  <r>
    <n v="1059"/>
    <x v="96"/>
    <x v="4"/>
    <x v="4"/>
    <n v="5097.4799999999996"/>
    <n v="28"/>
    <x v="3"/>
    <n v="224.32"/>
    <n v="715.06"/>
    <x v="0"/>
    <n v="0.01"/>
    <x v="2"/>
    <x v="0"/>
    <x v="15"/>
    <n v="490.73999999999995"/>
  </r>
  <r>
    <n v="1086"/>
    <x v="209"/>
    <x v="2"/>
    <x v="5"/>
    <n v="7212.69"/>
    <n v="32"/>
    <x v="3"/>
    <n v="3743.59"/>
    <n v="4116.38"/>
    <x v="0"/>
    <n v="0.11"/>
    <x v="0"/>
    <x v="0"/>
    <x v="5"/>
    <n v="372.78999999999996"/>
  </r>
  <r>
    <n v="1022"/>
    <x v="210"/>
    <x v="0"/>
    <x v="6"/>
    <n v="8640.14"/>
    <n v="45"/>
    <x v="0"/>
    <n v="4020.09"/>
    <n v="4087.91"/>
    <x v="0"/>
    <n v="0.06"/>
    <x v="1"/>
    <x v="0"/>
    <x v="1"/>
    <n v="67.819999999999709"/>
  </r>
  <r>
    <n v="1030"/>
    <x v="101"/>
    <x v="1"/>
    <x v="0"/>
    <n v="1874.63"/>
    <n v="2"/>
    <x v="2"/>
    <n v="844.94"/>
    <n v="1225.6400000000001"/>
    <x v="0"/>
    <n v="0.23"/>
    <x v="2"/>
    <x v="0"/>
    <x v="16"/>
    <n v="380.70000000000005"/>
  </r>
  <r>
    <n v="1038"/>
    <x v="108"/>
    <x v="1"/>
    <x v="1"/>
    <n v="8020.03"/>
    <n v="31"/>
    <x v="2"/>
    <n v="2709.84"/>
    <n v="2766.51"/>
    <x v="1"/>
    <n v="0.19"/>
    <x v="0"/>
    <x v="1"/>
    <x v="13"/>
    <n v="56.670000000000073"/>
  </r>
  <r>
    <n v="1051"/>
    <x v="211"/>
    <x v="0"/>
    <x v="2"/>
    <n v="5571.8"/>
    <n v="3"/>
    <x v="1"/>
    <n v="1000.18"/>
    <n v="1023.64"/>
    <x v="0"/>
    <n v="0.04"/>
    <x v="2"/>
    <x v="0"/>
    <x v="1"/>
    <n v="23.460000000000036"/>
  </r>
  <r>
    <n v="1054"/>
    <x v="146"/>
    <x v="1"/>
    <x v="3"/>
    <n v="4025.88"/>
    <n v="8"/>
    <x v="2"/>
    <n v="3610.21"/>
    <n v="3817.99"/>
    <x v="0"/>
    <n v="0.15"/>
    <x v="0"/>
    <x v="1"/>
    <x v="13"/>
    <n v="207.77999999999975"/>
  </r>
  <r>
    <n v="1008"/>
    <x v="98"/>
    <x v="3"/>
    <x v="4"/>
    <n v="1403.98"/>
    <n v="24"/>
    <x v="2"/>
    <n v="1394.17"/>
    <n v="1891.02"/>
    <x v="1"/>
    <n v="0.21"/>
    <x v="2"/>
    <x v="0"/>
    <x v="7"/>
    <n v="496.84999999999991"/>
  </r>
  <r>
    <n v="1027"/>
    <x v="162"/>
    <x v="3"/>
    <x v="5"/>
    <n v="8666.43"/>
    <n v="15"/>
    <x v="2"/>
    <n v="1615.26"/>
    <n v="1710.95"/>
    <x v="1"/>
    <n v="0.23"/>
    <x v="2"/>
    <x v="1"/>
    <x v="7"/>
    <n v="95.690000000000055"/>
  </r>
  <r>
    <n v="1027"/>
    <x v="34"/>
    <x v="3"/>
    <x v="6"/>
    <n v="1657"/>
    <n v="43"/>
    <x v="2"/>
    <n v="4232.6099999999997"/>
    <n v="4572.21"/>
    <x v="1"/>
    <n v="0.01"/>
    <x v="0"/>
    <x v="1"/>
    <x v="7"/>
    <n v="339.60000000000036"/>
  </r>
  <r>
    <n v="1098"/>
    <x v="27"/>
    <x v="4"/>
    <x v="0"/>
    <n v="3166.9"/>
    <n v="31"/>
    <x v="1"/>
    <n v="2407.8000000000002"/>
    <n v="2502.7600000000002"/>
    <x v="0"/>
    <n v="0.27"/>
    <x v="0"/>
    <x v="1"/>
    <x v="17"/>
    <n v="94.960000000000036"/>
  </r>
  <r>
    <n v="1021"/>
    <x v="212"/>
    <x v="0"/>
    <x v="1"/>
    <n v="2971.45"/>
    <n v="9"/>
    <x v="0"/>
    <n v="3365.28"/>
    <n v="3730.43"/>
    <x v="1"/>
    <n v="0.17"/>
    <x v="1"/>
    <x v="0"/>
    <x v="0"/>
    <n v="365.14999999999964"/>
  </r>
  <r>
    <n v="1030"/>
    <x v="128"/>
    <x v="4"/>
    <x v="2"/>
    <n v="8727"/>
    <n v="39"/>
    <x v="3"/>
    <n v="2041.75"/>
    <n v="2299.37"/>
    <x v="0"/>
    <n v="0.24"/>
    <x v="1"/>
    <x v="1"/>
    <x v="17"/>
    <n v="257.61999999999989"/>
  </r>
  <r>
    <n v="1097"/>
    <x v="213"/>
    <x v="1"/>
    <x v="3"/>
    <n v="6759.76"/>
    <n v="45"/>
    <x v="2"/>
    <n v="1525.13"/>
    <n v="1868.32"/>
    <x v="0"/>
    <n v="0.24"/>
    <x v="0"/>
    <x v="1"/>
    <x v="11"/>
    <n v="343.18999999999983"/>
  </r>
  <r>
    <n v="1028"/>
    <x v="67"/>
    <x v="4"/>
    <x v="4"/>
    <n v="7987.15"/>
    <n v="2"/>
    <x v="0"/>
    <n v="3146.12"/>
    <n v="3255.5299999999902"/>
    <x v="0"/>
    <n v="0.06"/>
    <x v="1"/>
    <x v="0"/>
    <x v="15"/>
    <n v="109.4099999999903"/>
  </r>
  <r>
    <n v="1064"/>
    <x v="214"/>
    <x v="1"/>
    <x v="5"/>
    <n v="2579.63"/>
    <n v="8"/>
    <x v="2"/>
    <n v="816.54"/>
    <n v="1191.9000000000001"/>
    <x v="1"/>
    <n v="0.03"/>
    <x v="0"/>
    <x v="1"/>
    <x v="2"/>
    <n v="375.36000000000013"/>
  </r>
  <r>
    <n v="1097"/>
    <x v="215"/>
    <x v="1"/>
    <x v="6"/>
    <n v="6286.25"/>
    <n v="7"/>
    <x v="2"/>
    <n v="1896.35"/>
    <n v="2394.1999999999998"/>
    <x v="1"/>
    <n v="0.22"/>
    <x v="1"/>
    <x v="0"/>
    <x v="16"/>
    <n v="497.84999999999991"/>
  </r>
  <r>
    <n v="1069"/>
    <x v="216"/>
    <x v="2"/>
    <x v="0"/>
    <n v="5760.29"/>
    <n v="44"/>
    <x v="3"/>
    <n v="1084.73"/>
    <n v="1420.9"/>
    <x v="0"/>
    <n v="0.05"/>
    <x v="2"/>
    <x v="0"/>
    <x v="5"/>
    <n v="336.17000000000007"/>
  </r>
  <r>
    <n v="1061"/>
    <x v="20"/>
    <x v="3"/>
    <x v="1"/>
    <n v="8345.02"/>
    <n v="39"/>
    <x v="3"/>
    <n v="3494.19"/>
    <n v="3746"/>
    <x v="0"/>
    <n v="0.25"/>
    <x v="1"/>
    <x v="1"/>
    <x v="6"/>
    <n v="251.80999999999995"/>
  </r>
  <r>
    <n v="1048"/>
    <x v="33"/>
    <x v="1"/>
    <x v="2"/>
    <n v="9070.26"/>
    <n v="42"/>
    <x v="3"/>
    <n v="4723.83"/>
    <n v="5186.1899999999996"/>
    <x v="0"/>
    <n v="0.22"/>
    <x v="2"/>
    <x v="0"/>
    <x v="11"/>
    <n v="462.35999999999967"/>
  </r>
  <r>
    <n v="1019"/>
    <x v="178"/>
    <x v="2"/>
    <x v="3"/>
    <n v="220.35"/>
    <n v="16"/>
    <x v="2"/>
    <n v="4977.78"/>
    <n v="4995.55"/>
    <x v="1"/>
    <n v="0.25"/>
    <x v="2"/>
    <x v="0"/>
    <x v="5"/>
    <n v="17.770000000000437"/>
  </r>
  <r>
    <n v="1004"/>
    <x v="217"/>
    <x v="3"/>
    <x v="4"/>
    <n v="6772.8"/>
    <n v="35"/>
    <x v="2"/>
    <n v="2278.87"/>
    <n v="2646.5299999999902"/>
    <x v="0"/>
    <n v="0.09"/>
    <x v="1"/>
    <x v="0"/>
    <x v="7"/>
    <n v="367.6599999999903"/>
  </r>
  <r>
    <n v="1035"/>
    <x v="218"/>
    <x v="1"/>
    <x v="5"/>
    <n v="613.16999999999996"/>
    <n v="30"/>
    <x v="2"/>
    <n v="1300.03"/>
    <n v="1745.52"/>
    <x v="1"/>
    <n v="0.09"/>
    <x v="0"/>
    <x v="1"/>
    <x v="16"/>
    <n v="445.49"/>
  </r>
  <r>
    <n v="1064"/>
    <x v="219"/>
    <x v="1"/>
    <x v="6"/>
    <n v="5533.7"/>
    <n v="10"/>
    <x v="3"/>
    <n v="2242.0100000000002"/>
    <n v="2282.23"/>
    <x v="0"/>
    <n v="0.2"/>
    <x v="2"/>
    <x v="0"/>
    <x v="2"/>
    <n v="40.2199999999998"/>
  </r>
  <r>
    <n v="1049"/>
    <x v="131"/>
    <x v="4"/>
    <x v="0"/>
    <n v="2947.56"/>
    <n v="38"/>
    <x v="1"/>
    <n v="4243.9799999999996"/>
    <n v="4474.5099999999902"/>
    <x v="1"/>
    <n v="0.01"/>
    <x v="2"/>
    <x v="0"/>
    <x v="18"/>
    <n v="230.52999999999065"/>
  </r>
  <r>
    <n v="1017"/>
    <x v="220"/>
    <x v="4"/>
    <x v="1"/>
    <n v="3137.09"/>
    <n v="18"/>
    <x v="0"/>
    <n v="1069.73"/>
    <n v="1180.04"/>
    <x v="0"/>
    <n v="0.22"/>
    <x v="1"/>
    <x v="0"/>
    <x v="9"/>
    <n v="110.30999999999995"/>
  </r>
  <r>
    <n v="1044"/>
    <x v="142"/>
    <x v="3"/>
    <x v="2"/>
    <n v="3594.29"/>
    <n v="5"/>
    <x v="1"/>
    <n v="4762.87"/>
    <n v="5050.46"/>
    <x v="1"/>
    <n v="0.25"/>
    <x v="0"/>
    <x v="1"/>
    <x v="7"/>
    <n v="287.59000000000015"/>
  </r>
  <r>
    <n v="1092"/>
    <x v="221"/>
    <x v="1"/>
    <x v="3"/>
    <n v="6250.8"/>
    <n v="29"/>
    <x v="2"/>
    <n v="1742.24"/>
    <n v="2070.52"/>
    <x v="1"/>
    <n v="0.12"/>
    <x v="0"/>
    <x v="0"/>
    <x v="16"/>
    <n v="328.28"/>
  </r>
  <r>
    <n v="1030"/>
    <x v="222"/>
    <x v="0"/>
    <x v="4"/>
    <n v="3407.09"/>
    <n v="39"/>
    <x v="2"/>
    <n v="4929.7299999999996"/>
    <n v="5088.0199999999904"/>
    <x v="1"/>
    <n v="0.23"/>
    <x v="1"/>
    <x v="1"/>
    <x v="12"/>
    <n v="158.28999999999087"/>
  </r>
  <r>
    <n v="1093"/>
    <x v="223"/>
    <x v="4"/>
    <x v="5"/>
    <n v="7353.72"/>
    <n v="34"/>
    <x v="1"/>
    <n v="4201.1099999999997"/>
    <n v="4436.5"/>
    <x v="1"/>
    <n v="0.05"/>
    <x v="0"/>
    <x v="0"/>
    <x v="15"/>
    <n v="235.39000000000033"/>
  </r>
  <r>
    <n v="1046"/>
    <x v="54"/>
    <x v="3"/>
    <x v="6"/>
    <n v="4104.82"/>
    <n v="43"/>
    <x v="2"/>
    <n v="4052.42"/>
    <n v="4199.3"/>
    <x v="1"/>
    <n v="0.1"/>
    <x v="1"/>
    <x v="1"/>
    <x v="14"/>
    <n v="146.88000000000011"/>
  </r>
  <r>
    <n v="1006"/>
    <x v="70"/>
    <x v="1"/>
    <x v="0"/>
    <n v="776.7"/>
    <n v="45"/>
    <x v="0"/>
    <n v="1623.63"/>
    <n v="1814.63"/>
    <x v="1"/>
    <n v="0.28999999999999998"/>
    <x v="1"/>
    <x v="1"/>
    <x v="13"/>
    <n v="191"/>
  </r>
  <r>
    <n v="1099"/>
    <x v="62"/>
    <x v="1"/>
    <x v="1"/>
    <n v="7859.22"/>
    <n v="23"/>
    <x v="2"/>
    <n v="93.45"/>
    <n v="181.62"/>
    <x v="0"/>
    <n v="0.3"/>
    <x v="1"/>
    <x v="1"/>
    <x v="2"/>
    <n v="88.17"/>
  </r>
  <r>
    <n v="1037"/>
    <x v="224"/>
    <x v="0"/>
    <x v="2"/>
    <n v="2929.01"/>
    <n v="5"/>
    <x v="0"/>
    <n v="1941.56"/>
    <n v="2385.48"/>
    <x v="0"/>
    <n v="0.15"/>
    <x v="2"/>
    <x v="0"/>
    <x v="3"/>
    <n v="443.92000000000007"/>
  </r>
  <r>
    <n v="1024"/>
    <x v="195"/>
    <x v="3"/>
    <x v="3"/>
    <n v="4384.3900000000003"/>
    <n v="30"/>
    <x v="1"/>
    <n v="1543.96"/>
    <n v="1558.87"/>
    <x v="0"/>
    <n v="0.28000000000000003"/>
    <x v="2"/>
    <x v="0"/>
    <x v="6"/>
    <n v="14.909999999999854"/>
  </r>
  <r>
    <n v="1093"/>
    <x v="11"/>
    <x v="1"/>
    <x v="4"/>
    <n v="6885.89"/>
    <n v="6"/>
    <x v="1"/>
    <n v="235.12"/>
    <n v="677.5"/>
    <x v="0"/>
    <n v="0.16"/>
    <x v="2"/>
    <x v="0"/>
    <x v="13"/>
    <n v="442.38"/>
  </r>
  <r>
    <n v="1046"/>
    <x v="225"/>
    <x v="4"/>
    <x v="5"/>
    <n v="3391.32"/>
    <n v="46"/>
    <x v="2"/>
    <n v="2551.56"/>
    <n v="2841.68"/>
    <x v="1"/>
    <n v="0.09"/>
    <x v="1"/>
    <x v="1"/>
    <x v="9"/>
    <n v="290.11999999999989"/>
  </r>
  <r>
    <n v="1053"/>
    <x v="226"/>
    <x v="0"/>
    <x v="6"/>
    <n v="660.2"/>
    <n v="44"/>
    <x v="0"/>
    <n v="2045"/>
    <n v="2217.5100000000002"/>
    <x v="0"/>
    <n v="0.08"/>
    <x v="2"/>
    <x v="0"/>
    <x v="0"/>
    <n v="172.51000000000022"/>
  </r>
  <r>
    <n v="1095"/>
    <x v="182"/>
    <x v="3"/>
    <x v="0"/>
    <n v="3801.82"/>
    <n v="4"/>
    <x v="2"/>
    <n v="3191.05"/>
    <n v="3555.35"/>
    <x v="1"/>
    <n v="0.28000000000000003"/>
    <x v="2"/>
    <x v="0"/>
    <x v="14"/>
    <n v="364.29999999999973"/>
  </r>
  <r>
    <n v="1099"/>
    <x v="174"/>
    <x v="0"/>
    <x v="1"/>
    <n v="9450.0400000000009"/>
    <n v="29"/>
    <x v="3"/>
    <n v="3124.87"/>
    <n v="3383.67"/>
    <x v="1"/>
    <n v="0.05"/>
    <x v="2"/>
    <x v="1"/>
    <x v="1"/>
    <n v="258.80000000000018"/>
  </r>
  <r>
    <n v="1060"/>
    <x v="227"/>
    <x v="4"/>
    <x v="2"/>
    <n v="6453.17"/>
    <n v="23"/>
    <x v="3"/>
    <n v="647.70000000000005"/>
    <n v="902.26"/>
    <x v="1"/>
    <n v="0.17"/>
    <x v="1"/>
    <x v="0"/>
    <x v="9"/>
    <n v="254.55999999999995"/>
  </r>
  <r>
    <n v="1097"/>
    <x v="228"/>
    <x v="3"/>
    <x v="3"/>
    <n v="6747.64"/>
    <n v="6"/>
    <x v="3"/>
    <n v="4885.9799999999996"/>
    <n v="4949.95"/>
    <x v="0"/>
    <n v="0.17"/>
    <x v="1"/>
    <x v="0"/>
    <x v="7"/>
    <n v="63.970000000000255"/>
  </r>
  <r>
    <n v="1063"/>
    <x v="166"/>
    <x v="0"/>
    <x v="4"/>
    <n v="6359.59"/>
    <n v="32"/>
    <x v="3"/>
    <n v="975.31"/>
    <n v="1176.17"/>
    <x v="1"/>
    <n v="0.22"/>
    <x v="1"/>
    <x v="1"/>
    <x v="12"/>
    <n v="200.86000000000013"/>
  </r>
  <r>
    <n v="1085"/>
    <x v="189"/>
    <x v="2"/>
    <x v="5"/>
    <n v="2070.02"/>
    <n v="42"/>
    <x v="2"/>
    <n v="2254.11"/>
    <n v="2382.23"/>
    <x v="0"/>
    <n v="0.15"/>
    <x v="2"/>
    <x v="1"/>
    <x v="4"/>
    <n v="128.11999999999989"/>
  </r>
  <r>
    <n v="1032"/>
    <x v="211"/>
    <x v="4"/>
    <x v="6"/>
    <n v="4241.51"/>
    <n v="18"/>
    <x v="3"/>
    <n v="2466.1799999999998"/>
    <n v="2483.87"/>
    <x v="0"/>
    <n v="0.08"/>
    <x v="0"/>
    <x v="0"/>
    <x v="17"/>
    <n v="17.690000000000055"/>
  </r>
  <r>
    <n v="1087"/>
    <x v="229"/>
    <x v="4"/>
    <x v="0"/>
    <n v="7534.3"/>
    <n v="15"/>
    <x v="0"/>
    <n v="4074.66"/>
    <n v="4261.1099999999997"/>
    <x v="0"/>
    <n v="0.05"/>
    <x v="2"/>
    <x v="1"/>
    <x v="17"/>
    <n v="186.44999999999982"/>
  </r>
  <r>
    <n v="1033"/>
    <x v="186"/>
    <x v="4"/>
    <x v="1"/>
    <n v="1103.5899999999999"/>
    <n v="40"/>
    <x v="1"/>
    <n v="541.19000000000005"/>
    <n v="595.20000000000005"/>
    <x v="0"/>
    <n v="0.19"/>
    <x v="2"/>
    <x v="0"/>
    <x v="17"/>
    <n v="54.009999999999991"/>
  </r>
  <r>
    <n v="1067"/>
    <x v="173"/>
    <x v="2"/>
    <x v="2"/>
    <n v="2850.74"/>
    <n v="32"/>
    <x v="1"/>
    <n v="2171.79"/>
    <n v="2307.64"/>
    <x v="0"/>
    <n v="0.22"/>
    <x v="1"/>
    <x v="0"/>
    <x v="19"/>
    <n v="135.84999999999991"/>
  </r>
  <r>
    <n v="1018"/>
    <x v="185"/>
    <x v="2"/>
    <x v="3"/>
    <n v="2835.56"/>
    <n v="9"/>
    <x v="3"/>
    <n v="3161.09"/>
    <n v="3216.42"/>
    <x v="1"/>
    <n v="0.17"/>
    <x v="1"/>
    <x v="0"/>
    <x v="19"/>
    <n v="55.329999999999927"/>
  </r>
  <r>
    <n v="1025"/>
    <x v="230"/>
    <x v="1"/>
    <x v="4"/>
    <n v="4376.99"/>
    <n v="37"/>
    <x v="3"/>
    <n v="1115.02"/>
    <n v="1174.48"/>
    <x v="1"/>
    <n v="0.22"/>
    <x v="2"/>
    <x v="0"/>
    <x v="13"/>
    <n v="59.460000000000036"/>
  </r>
  <r>
    <n v="1095"/>
    <x v="137"/>
    <x v="0"/>
    <x v="5"/>
    <n v="9805.65"/>
    <n v="10"/>
    <x v="3"/>
    <n v="3155.97"/>
    <n v="3263.49"/>
    <x v="0"/>
    <n v="0.04"/>
    <x v="2"/>
    <x v="0"/>
    <x v="3"/>
    <n v="107.51999999999998"/>
  </r>
  <r>
    <n v="1054"/>
    <x v="230"/>
    <x v="1"/>
    <x v="6"/>
    <n v="768.28"/>
    <n v="20"/>
    <x v="2"/>
    <n v="4622.1400000000003"/>
    <n v="5122.07"/>
    <x v="1"/>
    <n v="0.26"/>
    <x v="0"/>
    <x v="1"/>
    <x v="16"/>
    <n v="499.92999999999938"/>
  </r>
  <r>
    <n v="1058"/>
    <x v="107"/>
    <x v="0"/>
    <x v="0"/>
    <n v="5235.1400000000003"/>
    <n v="6"/>
    <x v="1"/>
    <n v="4987.71"/>
    <n v="4998.78"/>
    <x v="0"/>
    <n v="0.17"/>
    <x v="0"/>
    <x v="1"/>
    <x v="12"/>
    <n v="11.069999999999709"/>
  </r>
  <r>
    <n v="1067"/>
    <x v="231"/>
    <x v="2"/>
    <x v="1"/>
    <n v="1875.71"/>
    <n v="48"/>
    <x v="3"/>
    <n v="210.63"/>
    <n v="533.57999999999902"/>
    <x v="1"/>
    <n v="0.04"/>
    <x v="1"/>
    <x v="0"/>
    <x v="19"/>
    <n v="322.94999999999902"/>
  </r>
  <r>
    <n v="1046"/>
    <x v="32"/>
    <x v="2"/>
    <x v="2"/>
    <n v="9709.7000000000007"/>
    <n v="3"/>
    <x v="0"/>
    <n v="1216.1600000000001"/>
    <n v="1295.3699999999999"/>
    <x v="1"/>
    <n v="0.14000000000000001"/>
    <x v="0"/>
    <x v="1"/>
    <x v="4"/>
    <n v="79.209999999999809"/>
  </r>
  <r>
    <n v="1024"/>
    <x v="104"/>
    <x v="1"/>
    <x v="3"/>
    <n v="1221.7"/>
    <n v="42"/>
    <x v="3"/>
    <n v="1586.02"/>
    <n v="2047.13"/>
    <x v="1"/>
    <n v="0.25"/>
    <x v="0"/>
    <x v="1"/>
    <x v="2"/>
    <n v="461.11000000000013"/>
  </r>
  <r>
    <n v="1032"/>
    <x v="232"/>
    <x v="3"/>
    <x v="4"/>
    <n v="4095.65"/>
    <n v="11"/>
    <x v="1"/>
    <n v="2025.67"/>
    <n v="2081.5500000000002"/>
    <x v="1"/>
    <n v="0.27"/>
    <x v="1"/>
    <x v="0"/>
    <x v="14"/>
    <n v="55.880000000000109"/>
  </r>
  <r>
    <n v="1047"/>
    <x v="197"/>
    <x v="1"/>
    <x v="5"/>
    <n v="7405.06"/>
    <n v="43"/>
    <x v="3"/>
    <n v="1249.17"/>
    <n v="1727.15"/>
    <x v="1"/>
    <n v="0.08"/>
    <x v="0"/>
    <x v="1"/>
    <x v="11"/>
    <n v="477.98"/>
  </r>
  <r>
    <n v="1086"/>
    <x v="233"/>
    <x v="0"/>
    <x v="6"/>
    <n v="7075.09"/>
    <n v="17"/>
    <x v="1"/>
    <n v="1057.27"/>
    <n v="1366.62"/>
    <x v="1"/>
    <n v="0.21"/>
    <x v="2"/>
    <x v="1"/>
    <x v="0"/>
    <n v="309.34999999999991"/>
  </r>
  <r>
    <n v="1023"/>
    <x v="234"/>
    <x v="1"/>
    <x v="0"/>
    <n v="4285.01"/>
    <n v="32"/>
    <x v="3"/>
    <n v="4775.04"/>
    <n v="4785.66"/>
    <x v="1"/>
    <n v="0.03"/>
    <x v="0"/>
    <x v="0"/>
    <x v="2"/>
    <n v="10.619999999999891"/>
  </r>
  <r>
    <n v="1066"/>
    <x v="235"/>
    <x v="4"/>
    <x v="1"/>
    <n v="3530.59"/>
    <n v="4"/>
    <x v="0"/>
    <n v="4596.68"/>
    <n v="5044.74"/>
    <x v="1"/>
    <n v="0.01"/>
    <x v="1"/>
    <x v="0"/>
    <x v="9"/>
    <n v="448.05999999999949"/>
  </r>
  <r>
    <n v="1027"/>
    <x v="236"/>
    <x v="0"/>
    <x v="2"/>
    <n v="4036.36"/>
    <n v="4"/>
    <x v="3"/>
    <n v="282.61"/>
    <n v="548.25"/>
    <x v="1"/>
    <n v="0.17"/>
    <x v="2"/>
    <x v="0"/>
    <x v="12"/>
    <n v="265.64"/>
  </r>
  <r>
    <n v="1002"/>
    <x v="21"/>
    <x v="0"/>
    <x v="3"/>
    <n v="2716.34"/>
    <n v="17"/>
    <x v="0"/>
    <n v="1727.12"/>
    <n v="1865.83"/>
    <x v="1"/>
    <n v="0.21"/>
    <x v="0"/>
    <x v="0"/>
    <x v="12"/>
    <n v="138.71000000000004"/>
  </r>
  <r>
    <n v="1090"/>
    <x v="168"/>
    <x v="3"/>
    <x v="4"/>
    <n v="2132.8000000000002"/>
    <n v="41"/>
    <x v="0"/>
    <n v="2055.4899999999998"/>
    <n v="2441.46"/>
    <x v="1"/>
    <n v="0.24"/>
    <x v="2"/>
    <x v="0"/>
    <x v="7"/>
    <n v="385.97000000000025"/>
  </r>
  <r>
    <n v="1017"/>
    <x v="157"/>
    <x v="2"/>
    <x v="5"/>
    <n v="4882.09"/>
    <n v="19"/>
    <x v="3"/>
    <n v="1233.1199999999999"/>
    <n v="1697.1899999999901"/>
    <x v="1"/>
    <n v="0.1"/>
    <x v="2"/>
    <x v="0"/>
    <x v="10"/>
    <n v="464.06999999999016"/>
  </r>
  <r>
    <n v="1033"/>
    <x v="237"/>
    <x v="0"/>
    <x v="6"/>
    <n v="2758.48"/>
    <n v="5"/>
    <x v="0"/>
    <n v="3162.92"/>
    <n v="3409.93"/>
    <x v="1"/>
    <n v="0"/>
    <x v="0"/>
    <x v="0"/>
    <x v="3"/>
    <n v="247.00999999999976"/>
  </r>
  <r>
    <n v="1009"/>
    <x v="238"/>
    <x v="2"/>
    <x v="0"/>
    <n v="2945.87"/>
    <n v="32"/>
    <x v="2"/>
    <n v="3219.88"/>
    <n v="3384.5"/>
    <x v="0"/>
    <n v="0.14000000000000001"/>
    <x v="0"/>
    <x v="1"/>
    <x v="10"/>
    <n v="164.61999999999989"/>
  </r>
  <r>
    <n v="1043"/>
    <x v="186"/>
    <x v="1"/>
    <x v="1"/>
    <n v="6601.89"/>
    <n v="22"/>
    <x v="3"/>
    <n v="4260"/>
    <n v="4656.58"/>
    <x v="1"/>
    <n v="0"/>
    <x v="1"/>
    <x v="0"/>
    <x v="16"/>
    <n v="396.57999999999993"/>
  </r>
  <r>
    <n v="1048"/>
    <x v="62"/>
    <x v="4"/>
    <x v="2"/>
    <n v="9688.52"/>
    <n v="6"/>
    <x v="3"/>
    <n v="3717.3"/>
    <n v="4061.37"/>
    <x v="1"/>
    <n v="0.03"/>
    <x v="1"/>
    <x v="1"/>
    <x v="9"/>
    <n v="344.06999999999971"/>
  </r>
  <r>
    <n v="1039"/>
    <x v="37"/>
    <x v="3"/>
    <x v="3"/>
    <n v="6076.01"/>
    <n v="35"/>
    <x v="0"/>
    <n v="2735.74"/>
    <n v="3181.22999999999"/>
    <x v="1"/>
    <n v="0.1"/>
    <x v="2"/>
    <x v="1"/>
    <x v="7"/>
    <n v="445.48999999999023"/>
  </r>
  <r>
    <n v="1093"/>
    <x v="49"/>
    <x v="2"/>
    <x v="4"/>
    <n v="862.1"/>
    <n v="22"/>
    <x v="0"/>
    <n v="3285.25"/>
    <n v="3634.58"/>
    <x v="1"/>
    <n v="0.13"/>
    <x v="1"/>
    <x v="0"/>
    <x v="19"/>
    <n v="349.32999999999993"/>
  </r>
  <r>
    <n v="1042"/>
    <x v="239"/>
    <x v="0"/>
    <x v="5"/>
    <n v="848.28"/>
    <n v="1"/>
    <x v="3"/>
    <n v="1406.24"/>
    <n v="1535.57"/>
    <x v="1"/>
    <n v="0.08"/>
    <x v="2"/>
    <x v="1"/>
    <x v="12"/>
    <n v="129.32999999999993"/>
  </r>
  <r>
    <n v="1026"/>
    <x v="173"/>
    <x v="2"/>
    <x v="6"/>
    <n v="9519.09"/>
    <n v="20"/>
    <x v="2"/>
    <n v="2985.63"/>
    <n v="3452.14"/>
    <x v="1"/>
    <n v="0.17"/>
    <x v="2"/>
    <x v="1"/>
    <x v="5"/>
    <n v="466.50999999999976"/>
  </r>
  <r>
    <n v="1099"/>
    <x v="240"/>
    <x v="0"/>
    <x v="0"/>
    <n v="3043.18"/>
    <n v="22"/>
    <x v="0"/>
    <n v="2471.67"/>
    <n v="2533.04"/>
    <x v="0"/>
    <n v="0.02"/>
    <x v="1"/>
    <x v="1"/>
    <x v="12"/>
    <n v="61.369999999999891"/>
  </r>
  <r>
    <n v="1050"/>
    <x v="5"/>
    <x v="2"/>
    <x v="1"/>
    <n v="1011.46"/>
    <n v="48"/>
    <x v="0"/>
    <n v="710.06"/>
    <n v="851.349999999999"/>
    <x v="0"/>
    <n v="0.04"/>
    <x v="1"/>
    <x v="0"/>
    <x v="5"/>
    <n v="141.28999999999905"/>
  </r>
  <r>
    <n v="1025"/>
    <x v="64"/>
    <x v="0"/>
    <x v="2"/>
    <n v="6030.54"/>
    <n v="11"/>
    <x v="1"/>
    <n v="1250.5899999999999"/>
    <n v="1515.48999999999"/>
    <x v="0"/>
    <n v="0.21"/>
    <x v="1"/>
    <x v="1"/>
    <x v="3"/>
    <n v="264.89999999999009"/>
  </r>
  <r>
    <n v="1024"/>
    <x v="241"/>
    <x v="1"/>
    <x v="3"/>
    <n v="6274.12"/>
    <n v="13"/>
    <x v="2"/>
    <n v="1493.88"/>
    <n v="1781.09"/>
    <x v="1"/>
    <n v="0.04"/>
    <x v="0"/>
    <x v="1"/>
    <x v="16"/>
    <n v="287.20999999999981"/>
  </r>
  <r>
    <n v="1013"/>
    <x v="0"/>
    <x v="0"/>
    <x v="4"/>
    <n v="6520.2"/>
    <n v="42"/>
    <x v="2"/>
    <n v="4625.33"/>
    <n v="4642.83"/>
    <x v="1"/>
    <n v="0.19"/>
    <x v="2"/>
    <x v="0"/>
    <x v="0"/>
    <n v="17.5"/>
  </r>
  <r>
    <n v="1060"/>
    <x v="172"/>
    <x v="0"/>
    <x v="5"/>
    <n v="2747.28"/>
    <n v="3"/>
    <x v="3"/>
    <n v="1190.4100000000001"/>
    <n v="1582.89"/>
    <x v="1"/>
    <n v="0.02"/>
    <x v="2"/>
    <x v="1"/>
    <x v="3"/>
    <n v="392.48"/>
  </r>
  <r>
    <n v="1007"/>
    <x v="98"/>
    <x v="4"/>
    <x v="6"/>
    <n v="249.6"/>
    <n v="9"/>
    <x v="2"/>
    <n v="1481.76"/>
    <n v="1668.95"/>
    <x v="0"/>
    <n v="0.12"/>
    <x v="2"/>
    <x v="1"/>
    <x v="15"/>
    <n v="187.19000000000005"/>
  </r>
  <r>
    <n v="1057"/>
    <x v="115"/>
    <x v="0"/>
    <x v="0"/>
    <n v="9653.65"/>
    <n v="12"/>
    <x v="3"/>
    <n v="1878.3"/>
    <n v="2087.4499999999998"/>
    <x v="1"/>
    <n v="0.05"/>
    <x v="1"/>
    <x v="1"/>
    <x v="3"/>
    <n v="209.14999999999986"/>
  </r>
  <r>
    <n v="1036"/>
    <x v="85"/>
    <x v="4"/>
    <x v="1"/>
    <n v="2583.84"/>
    <n v="23"/>
    <x v="1"/>
    <n v="3335.53"/>
    <n v="3742.12"/>
    <x v="1"/>
    <n v="0.03"/>
    <x v="1"/>
    <x v="1"/>
    <x v="18"/>
    <n v="406.58999999999969"/>
  </r>
  <r>
    <n v="1045"/>
    <x v="202"/>
    <x v="3"/>
    <x v="2"/>
    <n v="6792.66"/>
    <n v="14"/>
    <x v="2"/>
    <n v="635.28"/>
    <n v="831.13"/>
    <x v="0"/>
    <n v="0.17"/>
    <x v="1"/>
    <x v="1"/>
    <x v="8"/>
    <n v="195.85000000000002"/>
  </r>
  <r>
    <n v="1020"/>
    <x v="167"/>
    <x v="4"/>
    <x v="3"/>
    <n v="7095.64"/>
    <n v="33"/>
    <x v="0"/>
    <n v="4772.03"/>
    <n v="4805.17"/>
    <x v="0"/>
    <n v="0.28000000000000003"/>
    <x v="1"/>
    <x v="0"/>
    <x v="9"/>
    <n v="33.140000000000327"/>
  </r>
  <r>
    <n v="1065"/>
    <x v="242"/>
    <x v="1"/>
    <x v="4"/>
    <n v="6139.07"/>
    <n v="18"/>
    <x v="1"/>
    <n v="4334.58"/>
    <n v="4431.04"/>
    <x v="1"/>
    <n v="0.02"/>
    <x v="1"/>
    <x v="1"/>
    <x v="13"/>
    <n v="96.460000000000036"/>
  </r>
  <r>
    <n v="1008"/>
    <x v="182"/>
    <x v="4"/>
    <x v="5"/>
    <n v="3197.78"/>
    <n v="49"/>
    <x v="3"/>
    <n v="2907.22"/>
    <n v="3385.6099999999901"/>
    <x v="1"/>
    <n v="0.13"/>
    <x v="0"/>
    <x v="0"/>
    <x v="9"/>
    <n v="478.38999999999032"/>
  </r>
  <r>
    <n v="1016"/>
    <x v="243"/>
    <x v="3"/>
    <x v="6"/>
    <n v="2783.85"/>
    <n v="41"/>
    <x v="1"/>
    <n v="3386.49"/>
    <n v="3430.99"/>
    <x v="1"/>
    <n v="0.21"/>
    <x v="1"/>
    <x v="1"/>
    <x v="7"/>
    <n v="44.5"/>
  </r>
  <r>
    <n v="1014"/>
    <x v="163"/>
    <x v="1"/>
    <x v="0"/>
    <n v="6016.92"/>
    <n v="9"/>
    <x v="3"/>
    <n v="132.47"/>
    <n v="316.39"/>
    <x v="1"/>
    <n v="0.14000000000000001"/>
    <x v="2"/>
    <x v="0"/>
    <x v="11"/>
    <n v="183.92"/>
  </r>
  <r>
    <n v="1076"/>
    <x v="155"/>
    <x v="2"/>
    <x v="1"/>
    <n v="8674.35"/>
    <n v="23"/>
    <x v="1"/>
    <n v="1727.78"/>
    <n v="1984.34"/>
    <x v="0"/>
    <n v="0.24"/>
    <x v="1"/>
    <x v="0"/>
    <x v="10"/>
    <n v="256.55999999999995"/>
  </r>
  <r>
    <n v="1087"/>
    <x v="39"/>
    <x v="2"/>
    <x v="2"/>
    <n v="9472.66"/>
    <n v="10"/>
    <x v="3"/>
    <n v="3988.52"/>
    <n v="4240.2299999999996"/>
    <x v="1"/>
    <n v="0.05"/>
    <x v="2"/>
    <x v="0"/>
    <x v="5"/>
    <n v="251.70999999999958"/>
  </r>
  <r>
    <n v="1015"/>
    <x v="244"/>
    <x v="4"/>
    <x v="3"/>
    <n v="1148.47"/>
    <n v="19"/>
    <x v="2"/>
    <n v="433.54"/>
    <n v="445.48"/>
    <x v="1"/>
    <n v="0.28999999999999998"/>
    <x v="1"/>
    <x v="1"/>
    <x v="18"/>
    <n v="11.939999999999998"/>
  </r>
  <r>
    <n v="1092"/>
    <x v="74"/>
    <x v="4"/>
    <x v="4"/>
    <n v="1632.8"/>
    <n v="47"/>
    <x v="0"/>
    <n v="1447.45"/>
    <n v="1703.02"/>
    <x v="0"/>
    <n v="0.12"/>
    <x v="1"/>
    <x v="1"/>
    <x v="18"/>
    <n v="255.56999999999994"/>
  </r>
  <r>
    <n v="1098"/>
    <x v="238"/>
    <x v="3"/>
    <x v="5"/>
    <n v="9452.89"/>
    <n v="5"/>
    <x v="3"/>
    <n v="2947.22"/>
    <n v="3145.27"/>
    <x v="1"/>
    <n v="0.1"/>
    <x v="2"/>
    <x v="1"/>
    <x v="7"/>
    <n v="198.05000000000018"/>
  </r>
  <r>
    <n v="1066"/>
    <x v="245"/>
    <x v="3"/>
    <x v="6"/>
    <n v="7391.7"/>
    <n v="47"/>
    <x v="1"/>
    <n v="1319.24"/>
    <n v="1805.56"/>
    <x v="1"/>
    <n v="0.26"/>
    <x v="2"/>
    <x v="1"/>
    <x v="14"/>
    <n v="486.31999999999994"/>
  </r>
  <r>
    <n v="1032"/>
    <x v="104"/>
    <x v="0"/>
    <x v="0"/>
    <n v="8841.64"/>
    <n v="23"/>
    <x v="3"/>
    <n v="4673.1899999999996"/>
    <n v="4761.1799999999903"/>
    <x v="0"/>
    <n v="0.17"/>
    <x v="2"/>
    <x v="1"/>
    <x v="0"/>
    <n v="87.989999999990687"/>
  </r>
  <r>
    <n v="1087"/>
    <x v="117"/>
    <x v="3"/>
    <x v="1"/>
    <n v="2106.06"/>
    <n v="30"/>
    <x v="3"/>
    <n v="698.74"/>
    <n v="882.28"/>
    <x v="0"/>
    <n v="0.15"/>
    <x v="2"/>
    <x v="0"/>
    <x v="14"/>
    <n v="183.53999999999996"/>
  </r>
  <r>
    <n v="1063"/>
    <x v="46"/>
    <x v="0"/>
    <x v="2"/>
    <n v="5917.1"/>
    <n v="25"/>
    <x v="3"/>
    <n v="3997.1"/>
    <n v="4212.6499999999996"/>
    <x v="1"/>
    <n v="0.22"/>
    <x v="0"/>
    <x v="0"/>
    <x v="3"/>
    <n v="215.54999999999973"/>
  </r>
  <r>
    <n v="1086"/>
    <x v="246"/>
    <x v="1"/>
    <x v="3"/>
    <n v="7041.28"/>
    <n v="28"/>
    <x v="1"/>
    <n v="2564.35"/>
    <n v="2765.79"/>
    <x v="0"/>
    <n v="0.17"/>
    <x v="2"/>
    <x v="0"/>
    <x v="11"/>
    <n v="201.44000000000005"/>
  </r>
  <r>
    <n v="1051"/>
    <x v="247"/>
    <x v="4"/>
    <x v="4"/>
    <n v="6833.11"/>
    <n v="34"/>
    <x v="0"/>
    <n v="3764.14"/>
    <n v="4100.3999999999996"/>
    <x v="0"/>
    <n v="0.05"/>
    <x v="1"/>
    <x v="1"/>
    <x v="15"/>
    <n v="336.25999999999976"/>
  </r>
  <r>
    <n v="1025"/>
    <x v="248"/>
    <x v="1"/>
    <x v="5"/>
    <n v="4140.7"/>
    <n v="45"/>
    <x v="2"/>
    <n v="1588.04"/>
    <n v="1703.6399999999901"/>
    <x v="1"/>
    <n v="0.2"/>
    <x v="1"/>
    <x v="1"/>
    <x v="2"/>
    <n v="115.59999999999013"/>
  </r>
  <r>
    <n v="1058"/>
    <x v="249"/>
    <x v="3"/>
    <x v="6"/>
    <n v="252.41"/>
    <n v="48"/>
    <x v="0"/>
    <n v="2596.7199999999998"/>
    <n v="2715.0499999999902"/>
    <x v="0"/>
    <n v="0.04"/>
    <x v="0"/>
    <x v="0"/>
    <x v="7"/>
    <n v="118.32999999999038"/>
  </r>
  <r>
    <n v="1063"/>
    <x v="75"/>
    <x v="1"/>
    <x v="0"/>
    <n v="5870.97"/>
    <n v="47"/>
    <x v="3"/>
    <n v="4291.33"/>
    <n v="4658.6400000000003"/>
    <x v="1"/>
    <n v="0.24"/>
    <x v="2"/>
    <x v="1"/>
    <x v="16"/>
    <n v="367.3100000000004"/>
  </r>
  <r>
    <n v="1062"/>
    <x v="250"/>
    <x v="1"/>
    <x v="1"/>
    <n v="2605.71"/>
    <n v="25"/>
    <x v="1"/>
    <n v="2361.0500000000002"/>
    <n v="2616.19"/>
    <x v="1"/>
    <n v="0.3"/>
    <x v="1"/>
    <x v="1"/>
    <x v="16"/>
    <n v="255.13999999999987"/>
  </r>
  <r>
    <n v="1022"/>
    <x v="147"/>
    <x v="1"/>
    <x v="2"/>
    <n v="4557.5200000000004"/>
    <n v="10"/>
    <x v="0"/>
    <n v="1830.61"/>
    <n v="2044.04"/>
    <x v="1"/>
    <n v="0.11"/>
    <x v="0"/>
    <x v="0"/>
    <x v="11"/>
    <n v="213.43000000000006"/>
  </r>
  <r>
    <n v="1058"/>
    <x v="251"/>
    <x v="3"/>
    <x v="3"/>
    <n v="9580.0499999999993"/>
    <n v="14"/>
    <x v="3"/>
    <n v="2703.97"/>
    <n v="2796.8799999999901"/>
    <x v="1"/>
    <n v="0.13"/>
    <x v="1"/>
    <x v="0"/>
    <x v="14"/>
    <n v="92.909999999990305"/>
  </r>
  <r>
    <n v="1058"/>
    <x v="252"/>
    <x v="1"/>
    <x v="4"/>
    <n v="4050.45"/>
    <n v="42"/>
    <x v="2"/>
    <n v="3600.95"/>
    <n v="3702.8399999999901"/>
    <x v="0"/>
    <n v="0.01"/>
    <x v="0"/>
    <x v="1"/>
    <x v="13"/>
    <n v="101.88999999999032"/>
  </r>
  <r>
    <n v="1086"/>
    <x v="253"/>
    <x v="0"/>
    <x v="5"/>
    <n v="8414.0400000000009"/>
    <n v="46"/>
    <x v="2"/>
    <n v="2245.64"/>
    <n v="2260.81"/>
    <x v="1"/>
    <n v="0"/>
    <x v="0"/>
    <x v="1"/>
    <x v="0"/>
    <n v="15.170000000000073"/>
  </r>
  <r>
    <n v="1049"/>
    <x v="138"/>
    <x v="3"/>
    <x v="6"/>
    <n v="1966.55"/>
    <n v="30"/>
    <x v="2"/>
    <n v="4697.4399999999996"/>
    <n v="4752.24"/>
    <x v="1"/>
    <n v="0.28000000000000003"/>
    <x v="2"/>
    <x v="0"/>
    <x v="6"/>
    <n v="54.800000000000182"/>
  </r>
  <r>
    <n v="1052"/>
    <x v="9"/>
    <x v="1"/>
    <x v="0"/>
    <n v="6757.36"/>
    <n v="41"/>
    <x v="3"/>
    <n v="1509.98"/>
    <n v="1792.83"/>
    <x v="1"/>
    <n v="0.04"/>
    <x v="0"/>
    <x v="1"/>
    <x v="13"/>
    <n v="282.84999999999991"/>
  </r>
  <r>
    <n v="1042"/>
    <x v="157"/>
    <x v="3"/>
    <x v="1"/>
    <n v="9772.3700000000008"/>
    <n v="25"/>
    <x v="1"/>
    <n v="2403.54"/>
    <n v="2850.56"/>
    <x v="1"/>
    <n v="0.13"/>
    <x v="1"/>
    <x v="0"/>
    <x v="7"/>
    <n v="447.02"/>
  </r>
  <r>
    <n v="1070"/>
    <x v="165"/>
    <x v="2"/>
    <x v="2"/>
    <n v="1108.74"/>
    <n v="14"/>
    <x v="0"/>
    <n v="3796.79"/>
    <n v="3947.5"/>
    <x v="0"/>
    <n v="0.24"/>
    <x v="1"/>
    <x v="0"/>
    <x v="10"/>
    <n v="150.71000000000004"/>
  </r>
  <r>
    <n v="1015"/>
    <x v="91"/>
    <x v="0"/>
    <x v="3"/>
    <n v="182.37"/>
    <n v="35"/>
    <x v="2"/>
    <n v="3461.15"/>
    <n v="3631.75"/>
    <x v="0"/>
    <n v="0.27"/>
    <x v="2"/>
    <x v="0"/>
    <x v="12"/>
    <n v="170.59999999999991"/>
  </r>
  <r>
    <n v="1054"/>
    <x v="87"/>
    <x v="1"/>
    <x v="4"/>
    <n v="4392.47"/>
    <n v="48"/>
    <x v="3"/>
    <n v="4325.0200000000004"/>
    <n v="4391.67"/>
    <x v="0"/>
    <n v="0.16"/>
    <x v="2"/>
    <x v="1"/>
    <x v="2"/>
    <n v="66.649999999999636"/>
  </r>
  <r>
    <n v="1060"/>
    <x v="142"/>
    <x v="2"/>
    <x v="5"/>
    <n v="1016.99"/>
    <n v="34"/>
    <x v="3"/>
    <n v="4984.21"/>
    <n v="5184.6400000000003"/>
    <x v="1"/>
    <n v="0.17"/>
    <x v="0"/>
    <x v="0"/>
    <x v="5"/>
    <n v="200.43000000000029"/>
  </r>
  <r>
    <n v="1097"/>
    <x v="254"/>
    <x v="2"/>
    <x v="6"/>
    <n v="7509.01"/>
    <n v="10"/>
    <x v="0"/>
    <n v="2162.9499999999998"/>
    <n v="2191.1899999999901"/>
    <x v="0"/>
    <n v="0.2"/>
    <x v="2"/>
    <x v="0"/>
    <x v="4"/>
    <n v="28.239999999990232"/>
  </r>
  <r>
    <n v="1008"/>
    <x v="55"/>
    <x v="3"/>
    <x v="0"/>
    <n v="9154.0300000000007"/>
    <n v="35"/>
    <x v="2"/>
    <n v="600.20000000000005"/>
    <n v="1059.82"/>
    <x v="0"/>
    <n v="0.28999999999999998"/>
    <x v="1"/>
    <x v="1"/>
    <x v="7"/>
    <n v="459.61999999999989"/>
  </r>
  <r>
    <n v="1053"/>
    <x v="255"/>
    <x v="2"/>
    <x v="1"/>
    <n v="4396.8100000000004"/>
    <n v="11"/>
    <x v="3"/>
    <n v="200.56"/>
    <n v="540.38"/>
    <x v="1"/>
    <n v="0.18"/>
    <x v="1"/>
    <x v="0"/>
    <x v="4"/>
    <n v="339.82"/>
  </r>
  <r>
    <n v="1060"/>
    <x v="105"/>
    <x v="0"/>
    <x v="2"/>
    <n v="2661.25"/>
    <n v="11"/>
    <x v="0"/>
    <n v="3648.04"/>
    <n v="4143.51"/>
    <x v="0"/>
    <n v="0.17"/>
    <x v="2"/>
    <x v="1"/>
    <x v="0"/>
    <n v="495.47000000000025"/>
  </r>
  <r>
    <n v="1005"/>
    <x v="256"/>
    <x v="0"/>
    <x v="3"/>
    <n v="4400.59"/>
    <n v="21"/>
    <x v="1"/>
    <n v="4376.37"/>
    <n v="4818.95"/>
    <x v="1"/>
    <n v="0"/>
    <x v="2"/>
    <x v="1"/>
    <x v="0"/>
    <n v="442.57999999999993"/>
  </r>
  <r>
    <n v="1068"/>
    <x v="257"/>
    <x v="4"/>
    <x v="4"/>
    <n v="7262.13"/>
    <n v="21"/>
    <x v="1"/>
    <n v="1142.53"/>
    <n v="1384.3"/>
    <x v="0"/>
    <n v="0.02"/>
    <x v="2"/>
    <x v="1"/>
    <x v="9"/>
    <n v="241.76999999999998"/>
  </r>
  <r>
    <n v="1006"/>
    <x v="250"/>
    <x v="0"/>
    <x v="5"/>
    <n v="189.64"/>
    <n v="22"/>
    <x v="1"/>
    <n v="834.32"/>
    <n v="1098.97"/>
    <x v="0"/>
    <n v="0.17"/>
    <x v="0"/>
    <x v="0"/>
    <x v="3"/>
    <n v="264.64999999999998"/>
  </r>
  <r>
    <n v="1096"/>
    <x v="238"/>
    <x v="2"/>
    <x v="6"/>
    <n v="5935.59"/>
    <n v="45"/>
    <x v="2"/>
    <n v="357.92"/>
    <n v="461.3"/>
    <x v="0"/>
    <n v="0.28000000000000003"/>
    <x v="0"/>
    <x v="0"/>
    <x v="10"/>
    <n v="103.38"/>
  </r>
  <r>
    <n v="1094"/>
    <x v="164"/>
    <x v="0"/>
    <x v="0"/>
    <n v="6171.59"/>
    <n v="7"/>
    <x v="0"/>
    <n v="4122.38"/>
    <n v="4358.78"/>
    <x v="0"/>
    <n v="0.26"/>
    <x v="1"/>
    <x v="1"/>
    <x v="1"/>
    <n v="236.39999999999964"/>
  </r>
  <r>
    <n v="1047"/>
    <x v="1"/>
    <x v="3"/>
    <x v="1"/>
    <n v="6413.11"/>
    <n v="17"/>
    <x v="0"/>
    <n v="1591.34"/>
    <n v="2043.82"/>
    <x v="1"/>
    <n v="0.28999999999999998"/>
    <x v="0"/>
    <x v="1"/>
    <x v="8"/>
    <n v="452.48"/>
  </r>
  <r>
    <n v="1099"/>
    <x v="26"/>
    <x v="4"/>
    <x v="2"/>
    <n v="2496.02"/>
    <n v="2"/>
    <x v="3"/>
    <n v="2038.4"/>
    <n v="2073.3200000000002"/>
    <x v="1"/>
    <n v="0.16"/>
    <x v="0"/>
    <x v="1"/>
    <x v="9"/>
    <n v="34.920000000000073"/>
  </r>
  <r>
    <n v="1055"/>
    <x v="234"/>
    <x v="2"/>
    <x v="3"/>
    <n v="7169.12"/>
    <n v="12"/>
    <x v="3"/>
    <n v="2538.61"/>
    <n v="2971.75"/>
    <x v="0"/>
    <n v="0.24"/>
    <x v="0"/>
    <x v="0"/>
    <x v="5"/>
    <n v="433.13999999999987"/>
  </r>
  <r>
    <n v="1040"/>
    <x v="83"/>
    <x v="4"/>
    <x v="4"/>
    <n v="1004.78"/>
    <n v="42"/>
    <x v="3"/>
    <n v="4205.29"/>
    <n v="4382.3500000000004"/>
    <x v="1"/>
    <n v="0.25"/>
    <x v="0"/>
    <x v="1"/>
    <x v="18"/>
    <n v="177.0600000000004"/>
  </r>
  <r>
    <n v="1052"/>
    <x v="258"/>
    <x v="2"/>
    <x v="5"/>
    <n v="2072.7800000000002"/>
    <n v="18"/>
    <x v="0"/>
    <n v="3271.62"/>
    <n v="3722.38"/>
    <x v="0"/>
    <n v="0.19"/>
    <x v="1"/>
    <x v="1"/>
    <x v="4"/>
    <n v="450.76000000000022"/>
  </r>
  <r>
    <n v="1016"/>
    <x v="15"/>
    <x v="3"/>
    <x v="6"/>
    <n v="8786.9500000000007"/>
    <n v="11"/>
    <x v="3"/>
    <n v="3094.57"/>
    <n v="3565.6"/>
    <x v="0"/>
    <n v="0.1"/>
    <x v="2"/>
    <x v="1"/>
    <x v="8"/>
    <n v="471.02999999999975"/>
  </r>
  <r>
    <n v="1013"/>
    <x v="259"/>
    <x v="4"/>
    <x v="0"/>
    <n v="7413.36"/>
    <n v="16"/>
    <x v="0"/>
    <n v="919.58"/>
    <n v="1258.3"/>
    <x v="0"/>
    <n v="0.14000000000000001"/>
    <x v="1"/>
    <x v="0"/>
    <x v="17"/>
    <n v="338.71999999999991"/>
  </r>
  <r>
    <n v="1030"/>
    <x v="33"/>
    <x v="1"/>
    <x v="1"/>
    <n v="236.08"/>
    <n v="49"/>
    <x v="0"/>
    <n v="2590.29"/>
    <n v="2925.86"/>
    <x v="0"/>
    <n v="0.26"/>
    <x v="0"/>
    <x v="1"/>
    <x v="16"/>
    <n v="335.57000000000016"/>
  </r>
  <r>
    <n v="1019"/>
    <x v="208"/>
    <x v="2"/>
    <x v="2"/>
    <n v="2558.92"/>
    <n v="18"/>
    <x v="1"/>
    <n v="3591.14"/>
    <n v="3822.99"/>
    <x v="0"/>
    <n v="0.09"/>
    <x v="2"/>
    <x v="0"/>
    <x v="19"/>
    <n v="231.84999999999991"/>
  </r>
  <r>
    <n v="1017"/>
    <x v="141"/>
    <x v="1"/>
    <x v="3"/>
    <n v="2222.62"/>
    <n v="35"/>
    <x v="3"/>
    <n v="4867.6400000000003"/>
    <n v="5287.05"/>
    <x v="0"/>
    <n v="0.28000000000000003"/>
    <x v="2"/>
    <x v="0"/>
    <x v="16"/>
    <n v="419.40999999999985"/>
  </r>
  <r>
    <n v="1063"/>
    <x v="257"/>
    <x v="4"/>
    <x v="4"/>
    <n v="2780.98"/>
    <n v="26"/>
    <x v="1"/>
    <n v="1046.96"/>
    <n v="1528.15"/>
    <x v="1"/>
    <n v="7.0000000000000007E-2"/>
    <x v="2"/>
    <x v="1"/>
    <x v="18"/>
    <n v="481.19000000000005"/>
  </r>
  <r>
    <n v="1019"/>
    <x v="169"/>
    <x v="1"/>
    <x v="5"/>
    <n v="2550.84"/>
    <n v="16"/>
    <x v="2"/>
    <n v="97.24"/>
    <n v="487.03"/>
    <x v="1"/>
    <n v="0.22"/>
    <x v="1"/>
    <x v="1"/>
    <x v="13"/>
    <n v="389.78999999999996"/>
  </r>
  <r>
    <n v="1092"/>
    <x v="181"/>
    <x v="1"/>
    <x v="6"/>
    <n v="719.01"/>
    <n v="6"/>
    <x v="2"/>
    <n v="422.74"/>
    <n v="737.49"/>
    <x v="0"/>
    <n v="0.19"/>
    <x v="2"/>
    <x v="1"/>
    <x v="16"/>
    <n v="314.75"/>
  </r>
  <r>
    <n v="1058"/>
    <x v="13"/>
    <x v="4"/>
    <x v="0"/>
    <n v="4643.51"/>
    <n v="44"/>
    <x v="2"/>
    <n v="1910.47"/>
    <n v="2217.8000000000002"/>
    <x v="1"/>
    <n v="0.22"/>
    <x v="1"/>
    <x v="0"/>
    <x v="17"/>
    <n v="307.33000000000015"/>
  </r>
  <r>
    <n v="1055"/>
    <x v="233"/>
    <x v="3"/>
    <x v="1"/>
    <n v="7354.06"/>
    <n v="43"/>
    <x v="0"/>
    <n v="4111.7"/>
    <n v="4537.9399999999996"/>
    <x v="0"/>
    <n v="0.13"/>
    <x v="1"/>
    <x v="0"/>
    <x v="8"/>
    <n v="426.23999999999978"/>
  </r>
  <r>
    <n v="1090"/>
    <x v="168"/>
    <x v="1"/>
    <x v="2"/>
    <n v="6106.64"/>
    <n v="47"/>
    <x v="0"/>
    <n v="85.35"/>
    <n v="360.539999999999"/>
    <x v="1"/>
    <n v="0.28000000000000003"/>
    <x v="0"/>
    <x v="0"/>
    <x v="2"/>
    <n v="275.18999999999903"/>
  </r>
  <r>
    <n v="1090"/>
    <x v="260"/>
    <x v="1"/>
    <x v="3"/>
    <n v="6761.43"/>
    <n v="47"/>
    <x v="0"/>
    <n v="2310.8200000000002"/>
    <n v="2714.71"/>
    <x v="1"/>
    <n v="0.19"/>
    <x v="0"/>
    <x v="1"/>
    <x v="16"/>
    <n v="403.88999999999987"/>
  </r>
  <r>
    <n v="1062"/>
    <x v="233"/>
    <x v="3"/>
    <x v="4"/>
    <n v="903.38"/>
    <n v="48"/>
    <x v="3"/>
    <n v="1679.69"/>
    <n v="1939.04"/>
    <x v="1"/>
    <n v="0.09"/>
    <x v="2"/>
    <x v="0"/>
    <x v="7"/>
    <n v="259.34999999999991"/>
  </r>
  <r>
    <n v="1023"/>
    <x v="87"/>
    <x v="1"/>
    <x v="5"/>
    <n v="9519.76"/>
    <n v="42"/>
    <x v="1"/>
    <n v="309.77999999999997"/>
    <n v="350.38"/>
    <x v="0"/>
    <n v="0.19"/>
    <x v="2"/>
    <x v="1"/>
    <x v="2"/>
    <n v="40.600000000000023"/>
  </r>
  <r>
    <n v="1009"/>
    <x v="172"/>
    <x v="1"/>
    <x v="6"/>
    <n v="8401.07"/>
    <n v="12"/>
    <x v="0"/>
    <n v="2278.67"/>
    <n v="2476.8000000000002"/>
    <x v="1"/>
    <n v="0.09"/>
    <x v="0"/>
    <x v="1"/>
    <x v="13"/>
    <n v="198.13000000000011"/>
  </r>
  <r>
    <n v="1012"/>
    <x v="261"/>
    <x v="1"/>
    <x v="0"/>
    <n v="8070.39"/>
    <n v="13"/>
    <x v="1"/>
    <n v="1311.01"/>
    <n v="1538.79"/>
    <x v="0"/>
    <n v="0.09"/>
    <x v="1"/>
    <x v="1"/>
    <x v="13"/>
    <n v="227.77999999999997"/>
  </r>
  <r>
    <n v="1001"/>
    <x v="262"/>
    <x v="0"/>
    <x v="1"/>
    <n v="8247.5400000000009"/>
    <n v="4"/>
    <x v="1"/>
    <n v="1791.83"/>
    <n v="1871.22"/>
    <x v="0"/>
    <n v="0.12"/>
    <x v="1"/>
    <x v="0"/>
    <x v="0"/>
    <n v="79.3900000000001"/>
  </r>
  <r>
    <n v="1058"/>
    <x v="263"/>
    <x v="3"/>
    <x v="2"/>
    <n v="9333.83"/>
    <n v="39"/>
    <x v="1"/>
    <n v="3542.8"/>
    <n v="3603.02"/>
    <x v="0"/>
    <n v="0.26"/>
    <x v="0"/>
    <x v="0"/>
    <x v="8"/>
    <n v="60.2199999999998"/>
  </r>
  <r>
    <n v="1001"/>
    <x v="106"/>
    <x v="1"/>
    <x v="3"/>
    <n v="5488.11"/>
    <n v="2"/>
    <x v="3"/>
    <n v="2631.68"/>
    <n v="2904.06"/>
    <x v="1"/>
    <n v="0.15"/>
    <x v="1"/>
    <x v="0"/>
    <x v="16"/>
    <n v="272.38000000000011"/>
  </r>
  <r>
    <n v="1034"/>
    <x v="5"/>
    <x v="3"/>
    <x v="4"/>
    <n v="2082.79"/>
    <n v="26"/>
    <x v="3"/>
    <n v="667"/>
    <n v="718.72"/>
    <x v="1"/>
    <n v="0.2"/>
    <x v="0"/>
    <x v="1"/>
    <x v="6"/>
    <n v="51.720000000000027"/>
  </r>
  <r>
    <n v="1096"/>
    <x v="170"/>
    <x v="2"/>
    <x v="5"/>
    <n v="6206.16"/>
    <n v="27"/>
    <x v="2"/>
    <n v="4809"/>
    <n v="4967.4399999999996"/>
    <x v="1"/>
    <n v="0.12"/>
    <x v="0"/>
    <x v="0"/>
    <x v="5"/>
    <n v="158.4399999999996"/>
  </r>
  <r>
    <n v="1048"/>
    <x v="118"/>
    <x v="2"/>
    <x v="6"/>
    <n v="7454.53"/>
    <n v="27"/>
    <x v="2"/>
    <n v="3197.76"/>
    <n v="3572.61"/>
    <x v="0"/>
    <n v="0.08"/>
    <x v="2"/>
    <x v="0"/>
    <x v="5"/>
    <n v="374.84999999999991"/>
  </r>
  <r>
    <n v="1089"/>
    <x v="96"/>
    <x v="1"/>
    <x v="0"/>
    <n v="7405.38"/>
    <n v="15"/>
    <x v="1"/>
    <n v="3841.05"/>
    <n v="4323.62"/>
    <x v="0"/>
    <n v="0.28999999999999998"/>
    <x v="2"/>
    <x v="1"/>
    <x v="11"/>
    <n v="482.56999999999971"/>
  </r>
  <r>
    <n v="1001"/>
    <x v="198"/>
    <x v="3"/>
    <x v="1"/>
    <n v="5262.35"/>
    <n v="8"/>
    <x v="2"/>
    <n v="442.11"/>
    <n v="803.87"/>
    <x v="1"/>
    <n v="0.18"/>
    <x v="0"/>
    <x v="1"/>
    <x v="14"/>
    <n v="361.76"/>
  </r>
  <r>
    <n v="1016"/>
    <x v="14"/>
    <x v="3"/>
    <x v="2"/>
    <n v="777.74"/>
    <n v="7"/>
    <x v="1"/>
    <n v="282.94"/>
    <n v="779.32999999999902"/>
    <x v="0"/>
    <n v="0.28000000000000003"/>
    <x v="2"/>
    <x v="0"/>
    <x v="8"/>
    <n v="496.38999999999902"/>
  </r>
  <r>
    <n v="1061"/>
    <x v="264"/>
    <x v="3"/>
    <x v="3"/>
    <n v="3774.02"/>
    <n v="47"/>
    <x v="3"/>
    <n v="146.27000000000001"/>
    <n v="498.46"/>
    <x v="1"/>
    <n v="0.06"/>
    <x v="0"/>
    <x v="1"/>
    <x v="7"/>
    <n v="352.18999999999994"/>
  </r>
  <r>
    <n v="1064"/>
    <x v="72"/>
    <x v="0"/>
    <x v="4"/>
    <n v="9215.59"/>
    <n v="46"/>
    <x v="3"/>
    <n v="984.53"/>
    <n v="1138.49"/>
    <x v="1"/>
    <n v="0.04"/>
    <x v="1"/>
    <x v="0"/>
    <x v="1"/>
    <n v="153.96000000000004"/>
  </r>
  <r>
    <n v="1063"/>
    <x v="265"/>
    <x v="2"/>
    <x v="5"/>
    <n v="5886.04"/>
    <n v="40"/>
    <x v="3"/>
    <n v="2101.3200000000002"/>
    <n v="2440.63"/>
    <x v="1"/>
    <n v="0.26"/>
    <x v="1"/>
    <x v="1"/>
    <x v="19"/>
    <n v="339.30999999999995"/>
  </r>
  <r>
    <n v="1069"/>
    <x v="266"/>
    <x v="3"/>
    <x v="6"/>
    <n v="5429.49"/>
    <n v="12"/>
    <x v="0"/>
    <n v="4682.34"/>
    <n v="5036.3999999999996"/>
    <x v="1"/>
    <n v="0.2"/>
    <x v="1"/>
    <x v="1"/>
    <x v="7"/>
    <n v="354.05999999999949"/>
  </r>
  <r>
    <n v="1022"/>
    <x v="267"/>
    <x v="3"/>
    <x v="0"/>
    <n v="2761.65"/>
    <n v="13"/>
    <x v="1"/>
    <n v="2312.4499999999998"/>
    <n v="2504.6"/>
    <x v="0"/>
    <n v="0.06"/>
    <x v="1"/>
    <x v="0"/>
    <x v="14"/>
    <n v="192.15000000000009"/>
  </r>
  <r>
    <n v="1093"/>
    <x v="51"/>
    <x v="0"/>
    <x v="1"/>
    <n v="3747.64"/>
    <n v="43"/>
    <x v="3"/>
    <n v="1486.76"/>
    <n v="1505.44"/>
    <x v="1"/>
    <n v="0.08"/>
    <x v="0"/>
    <x v="1"/>
    <x v="1"/>
    <n v="18.680000000000064"/>
  </r>
  <r>
    <n v="1067"/>
    <x v="6"/>
    <x v="0"/>
    <x v="2"/>
    <n v="8963.93"/>
    <n v="17"/>
    <x v="1"/>
    <n v="2831.58"/>
    <n v="3186.15"/>
    <x v="1"/>
    <n v="0.24"/>
    <x v="1"/>
    <x v="1"/>
    <x v="12"/>
    <n v="354.57000000000016"/>
  </r>
  <r>
    <n v="1076"/>
    <x v="268"/>
    <x v="3"/>
    <x v="3"/>
    <n v="6697.98"/>
    <n v="17"/>
    <x v="2"/>
    <n v="604.08000000000004"/>
    <n v="624.71"/>
    <x v="1"/>
    <n v="0.14000000000000001"/>
    <x v="1"/>
    <x v="1"/>
    <x v="7"/>
    <n v="20.629999999999995"/>
  </r>
  <r>
    <n v="1026"/>
    <x v="82"/>
    <x v="4"/>
    <x v="4"/>
    <n v="7895.13"/>
    <n v="36"/>
    <x v="2"/>
    <n v="3067.05"/>
    <n v="3386.33"/>
    <x v="1"/>
    <n v="0.2"/>
    <x v="1"/>
    <x v="0"/>
    <x v="9"/>
    <n v="319.27999999999975"/>
  </r>
  <r>
    <n v="1016"/>
    <x v="172"/>
    <x v="3"/>
    <x v="5"/>
    <n v="4598.0200000000004"/>
    <n v="21"/>
    <x v="3"/>
    <n v="2863.74"/>
    <n v="2953.91"/>
    <x v="1"/>
    <n v="0.1"/>
    <x v="1"/>
    <x v="1"/>
    <x v="8"/>
    <n v="90.170000000000073"/>
  </r>
  <r>
    <n v="1051"/>
    <x v="128"/>
    <x v="3"/>
    <x v="6"/>
    <n v="6339.45"/>
    <n v="8"/>
    <x v="1"/>
    <n v="3970.37"/>
    <n v="4257.5199999999904"/>
    <x v="1"/>
    <n v="0.11"/>
    <x v="0"/>
    <x v="1"/>
    <x v="6"/>
    <n v="287.14999999999054"/>
  </r>
  <r>
    <n v="1086"/>
    <x v="269"/>
    <x v="0"/>
    <x v="0"/>
    <n v="2559"/>
    <n v="5"/>
    <x v="3"/>
    <n v="4934.1000000000004"/>
    <n v="5191.0200000000004"/>
    <x v="1"/>
    <n v="0.3"/>
    <x v="1"/>
    <x v="0"/>
    <x v="1"/>
    <n v="256.92000000000007"/>
  </r>
  <r>
    <n v="1057"/>
    <x v="27"/>
    <x v="0"/>
    <x v="1"/>
    <n v="7084.06"/>
    <n v="26"/>
    <x v="2"/>
    <n v="1291.82"/>
    <n v="1308.4399999999901"/>
    <x v="0"/>
    <n v="7.0000000000000007E-2"/>
    <x v="2"/>
    <x v="0"/>
    <x v="12"/>
    <n v="16.619999999990114"/>
  </r>
  <r>
    <n v="1029"/>
    <x v="131"/>
    <x v="3"/>
    <x v="2"/>
    <n v="4333.25"/>
    <n v="16"/>
    <x v="3"/>
    <n v="2572.8000000000002"/>
    <n v="2760.6"/>
    <x v="0"/>
    <n v="0.15"/>
    <x v="2"/>
    <x v="1"/>
    <x v="14"/>
    <n v="187.79999999999973"/>
  </r>
  <r>
    <n v="1078"/>
    <x v="267"/>
    <x v="3"/>
    <x v="3"/>
    <n v="4481.2"/>
    <n v="36"/>
    <x v="1"/>
    <n v="4548.88"/>
    <n v="4853.41"/>
    <x v="0"/>
    <n v="0.25"/>
    <x v="2"/>
    <x v="1"/>
    <x v="14"/>
    <n v="304.52999999999975"/>
  </r>
  <r>
    <n v="1092"/>
    <x v="24"/>
    <x v="3"/>
    <x v="4"/>
    <n v="6528.29"/>
    <n v="28"/>
    <x v="2"/>
    <n v="3936.69"/>
    <n v="4362.51"/>
    <x v="0"/>
    <n v="7.0000000000000007E-2"/>
    <x v="2"/>
    <x v="1"/>
    <x v="14"/>
    <n v="425.82000000000016"/>
  </r>
  <r>
    <n v="1069"/>
    <x v="270"/>
    <x v="0"/>
    <x v="5"/>
    <n v="9369.18"/>
    <n v="29"/>
    <x v="0"/>
    <n v="2462.66"/>
    <n v="2908.0899999999901"/>
    <x v="1"/>
    <n v="0.12"/>
    <x v="2"/>
    <x v="0"/>
    <x v="12"/>
    <n v="445.42999999999029"/>
  </r>
  <r>
    <n v="1047"/>
    <x v="133"/>
    <x v="3"/>
    <x v="6"/>
    <n v="733.66"/>
    <n v="47"/>
    <x v="2"/>
    <n v="4729.59"/>
    <n v="4976.68"/>
    <x v="0"/>
    <n v="0.18"/>
    <x v="2"/>
    <x v="1"/>
    <x v="6"/>
    <n v="247.09000000000015"/>
  </r>
  <r>
    <n v="1094"/>
    <x v="100"/>
    <x v="3"/>
    <x v="0"/>
    <n v="8264.9599999999991"/>
    <n v="12"/>
    <x v="0"/>
    <n v="333.32"/>
    <n v="700.25"/>
    <x v="0"/>
    <n v="0.14000000000000001"/>
    <x v="0"/>
    <x v="0"/>
    <x v="14"/>
    <n v="366.93"/>
  </r>
  <r>
    <n v="1062"/>
    <x v="2"/>
    <x v="1"/>
    <x v="1"/>
    <n v="2994.59"/>
    <n v="37"/>
    <x v="3"/>
    <n v="4658.4399999999996"/>
    <n v="4823.5"/>
    <x v="0"/>
    <n v="0.14000000000000001"/>
    <x v="2"/>
    <x v="0"/>
    <x v="11"/>
    <n v="165.0600000000004"/>
  </r>
  <r>
    <n v="1069"/>
    <x v="165"/>
    <x v="4"/>
    <x v="2"/>
    <n v="4494.8"/>
    <n v="30"/>
    <x v="3"/>
    <n v="300.01"/>
    <n v="477.67999999999898"/>
    <x v="1"/>
    <n v="0.11"/>
    <x v="1"/>
    <x v="1"/>
    <x v="15"/>
    <n v="177.66999999999899"/>
  </r>
  <r>
    <n v="1076"/>
    <x v="228"/>
    <x v="2"/>
    <x v="3"/>
    <n v="316.94"/>
    <n v="23"/>
    <x v="1"/>
    <n v="2759.16"/>
    <n v="2864.45"/>
    <x v="0"/>
    <n v="0.18"/>
    <x v="2"/>
    <x v="1"/>
    <x v="10"/>
    <n v="105.28999999999996"/>
  </r>
  <r>
    <n v="1016"/>
    <x v="186"/>
    <x v="4"/>
    <x v="4"/>
    <n v="3080.36"/>
    <n v="16"/>
    <x v="0"/>
    <n v="4457.68"/>
    <n v="4743.03"/>
    <x v="0"/>
    <n v="0.19"/>
    <x v="0"/>
    <x v="0"/>
    <x v="17"/>
    <n v="285.34999999999945"/>
  </r>
  <r>
    <n v="1090"/>
    <x v="18"/>
    <x v="1"/>
    <x v="5"/>
    <n v="5076.05"/>
    <n v="14"/>
    <x v="3"/>
    <n v="1350.47"/>
    <n v="1514.61"/>
    <x v="1"/>
    <n v="0.2"/>
    <x v="2"/>
    <x v="1"/>
    <x v="11"/>
    <n v="164.13999999999987"/>
  </r>
  <r>
    <n v="1090"/>
    <x v="144"/>
    <x v="2"/>
    <x v="6"/>
    <n v="656.14"/>
    <n v="10"/>
    <x v="0"/>
    <n v="2387.63"/>
    <n v="2438.9699999999998"/>
    <x v="0"/>
    <n v="0.02"/>
    <x v="1"/>
    <x v="1"/>
    <x v="5"/>
    <n v="51.339999999999691"/>
  </r>
  <r>
    <n v="1048"/>
    <x v="170"/>
    <x v="3"/>
    <x v="0"/>
    <n v="4961.8500000000004"/>
    <n v="7"/>
    <x v="3"/>
    <n v="1655.43"/>
    <n v="2001.08"/>
    <x v="1"/>
    <n v="0.19"/>
    <x v="1"/>
    <x v="0"/>
    <x v="6"/>
    <n v="345.64999999999986"/>
  </r>
  <r>
    <n v="1085"/>
    <x v="103"/>
    <x v="1"/>
    <x v="1"/>
    <n v="9278.4"/>
    <n v="45"/>
    <x v="2"/>
    <n v="4763.1099999999997"/>
    <n v="5119.91"/>
    <x v="0"/>
    <n v="0.28999999999999998"/>
    <x v="0"/>
    <x v="1"/>
    <x v="13"/>
    <n v="356.80000000000018"/>
  </r>
  <r>
    <n v="1039"/>
    <x v="245"/>
    <x v="3"/>
    <x v="2"/>
    <n v="1143.3900000000001"/>
    <n v="37"/>
    <x v="3"/>
    <n v="4127.05"/>
    <n v="4313.45"/>
    <x v="1"/>
    <n v="0.16"/>
    <x v="0"/>
    <x v="0"/>
    <x v="8"/>
    <n v="186.39999999999964"/>
  </r>
  <r>
    <n v="1100"/>
    <x v="114"/>
    <x v="0"/>
    <x v="3"/>
    <n v="7667.96"/>
    <n v="29"/>
    <x v="1"/>
    <n v="3559.56"/>
    <n v="3607.15"/>
    <x v="0"/>
    <n v="0.21"/>
    <x v="0"/>
    <x v="1"/>
    <x v="1"/>
    <n v="47.590000000000146"/>
  </r>
  <r>
    <n v="1033"/>
    <x v="229"/>
    <x v="1"/>
    <x v="4"/>
    <n v="4155.74"/>
    <n v="3"/>
    <x v="2"/>
    <n v="2958.75"/>
    <n v="3177.64"/>
    <x v="0"/>
    <n v="0.17"/>
    <x v="0"/>
    <x v="0"/>
    <x v="13"/>
    <n v="218.88999999999987"/>
  </r>
  <r>
    <n v="1094"/>
    <x v="13"/>
    <x v="0"/>
    <x v="5"/>
    <n v="6586.22"/>
    <n v="15"/>
    <x v="1"/>
    <n v="4111.93"/>
    <n v="4338.67"/>
    <x v="0"/>
    <n v="0.26"/>
    <x v="2"/>
    <x v="0"/>
    <x v="3"/>
    <n v="226.73999999999978"/>
  </r>
  <r>
    <n v="1023"/>
    <x v="45"/>
    <x v="1"/>
    <x v="6"/>
    <n v="2676.34"/>
    <n v="36"/>
    <x v="2"/>
    <n v="1991.72"/>
    <n v="2329.37"/>
    <x v="1"/>
    <n v="0.28000000000000003"/>
    <x v="2"/>
    <x v="1"/>
    <x v="11"/>
    <n v="337.64999999999986"/>
  </r>
  <r>
    <n v="1010"/>
    <x v="57"/>
    <x v="1"/>
    <x v="0"/>
    <n v="1678.97"/>
    <n v="47"/>
    <x v="0"/>
    <n v="2265.38"/>
    <n v="2429.9299999999998"/>
    <x v="0"/>
    <n v="0.06"/>
    <x v="1"/>
    <x v="0"/>
    <x v="16"/>
    <n v="164.54999999999973"/>
  </r>
  <r>
    <n v="1069"/>
    <x v="108"/>
    <x v="0"/>
    <x v="1"/>
    <n v="1688.58"/>
    <n v="46"/>
    <x v="1"/>
    <n v="3663.51"/>
    <n v="4007.98"/>
    <x v="1"/>
    <n v="0.13"/>
    <x v="0"/>
    <x v="0"/>
    <x v="1"/>
    <n v="344.4699999999998"/>
  </r>
  <r>
    <n v="1100"/>
    <x v="199"/>
    <x v="2"/>
    <x v="2"/>
    <n v="797.87"/>
    <n v="19"/>
    <x v="3"/>
    <n v="1820.89"/>
    <n v="2257.92"/>
    <x v="1"/>
    <n v="0.12"/>
    <x v="0"/>
    <x v="1"/>
    <x v="19"/>
    <n v="437.03"/>
  </r>
  <r>
    <n v="1034"/>
    <x v="271"/>
    <x v="4"/>
    <x v="3"/>
    <n v="1937.9"/>
    <n v="13"/>
    <x v="0"/>
    <n v="366.31"/>
    <n v="492.68"/>
    <x v="1"/>
    <n v="0.12"/>
    <x v="2"/>
    <x v="1"/>
    <x v="15"/>
    <n v="126.37"/>
  </r>
  <r>
    <n v="1052"/>
    <x v="272"/>
    <x v="3"/>
    <x v="4"/>
    <n v="6675.77"/>
    <n v="42"/>
    <x v="3"/>
    <n v="417.96"/>
    <n v="907.63"/>
    <x v="1"/>
    <n v="0.04"/>
    <x v="0"/>
    <x v="1"/>
    <x v="6"/>
    <n v="489.67"/>
  </r>
  <r>
    <n v="1095"/>
    <x v="9"/>
    <x v="1"/>
    <x v="5"/>
    <n v="8828.74"/>
    <n v="21"/>
    <x v="2"/>
    <n v="621.04999999999995"/>
    <n v="820.36999999999898"/>
    <x v="0"/>
    <n v="0.24"/>
    <x v="1"/>
    <x v="0"/>
    <x v="11"/>
    <n v="199.31999999999903"/>
  </r>
  <r>
    <n v="1010"/>
    <x v="126"/>
    <x v="3"/>
    <x v="6"/>
    <n v="8159.84"/>
    <n v="37"/>
    <x v="2"/>
    <n v="4354.92"/>
    <n v="4495.88"/>
    <x v="0"/>
    <n v="0.01"/>
    <x v="1"/>
    <x v="0"/>
    <x v="6"/>
    <n v="140.96000000000004"/>
  </r>
  <r>
    <n v="1019"/>
    <x v="259"/>
    <x v="0"/>
    <x v="0"/>
    <n v="6882.83"/>
    <n v="27"/>
    <x v="3"/>
    <n v="2387.52"/>
    <n v="2604.06"/>
    <x v="0"/>
    <n v="0.16"/>
    <x v="0"/>
    <x v="0"/>
    <x v="1"/>
    <n v="216.53999999999996"/>
  </r>
  <r>
    <n v="1058"/>
    <x v="93"/>
    <x v="3"/>
    <x v="1"/>
    <n v="1193.28"/>
    <n v="29"/>
    <x v="3"/>
    <n v="3578.77"/>
    <n v="3635.02"/>
    <x v="1"/>
    <n v="0.2"/>
    <x v="1"/>
    <x v="1"/>
    <x v="8"/>
    <n v="56.25"/>
  </r>
  <r>
    <n v="1096"/>
    <x v="38"/>
    <x v="0"/>
    <x v="2"/>
    <n v="2962.96"/>
    <n v="20"/>
    <x v="0"/>
    <n v="1994.9"/>
    <n v="2066.5"/>
    <x v="0"/>
    <n v="0.06"/>
    <x v="1"/>
    <x v="0"/>
    <x v="12"/>
    <n v="71.599999999999909"/>
  </r>
  <r>
    <n v="1001"/>
    <x v="167"/>
    <x v="3"/>
    <x v="3"/>
    <n v="3167.09"/>
    <n v="25"/>
    <x v="3"/>
    <n v="1330.62"/>
    <n v="1543.6899999999901"/>
    <x v="1"/>
    <n v="0.27"/>
    <x v="2"/>
    <x v="0"/>
    <x v="14"/>
    <n v="213.06999999999016"/>
  </r>
  <r>
    <n v="1069"/>
    <x v="212"/>
    <x v="4"/>
    <x v="4"/>
    <n v="2574.5700000000002"/>
    <n v="6"/>
    <x v="1"/>
    <n v="1768.6"/>
    <n v="2152.1999999999998"/>
    <x v="1"/>
    <n v="0.25"/>
    <x v="1"/>
    <x v="1"/>
    <x v="18"/>
    <n v="383.59999999999991"/>
  </r>
  <r>
    <n v="1004"/>
    <x v="28"/>
    <x v="4"/>
    <x v="5"/>
    <n v="5198.5600000000004"/>
    <n v="36"/>
    <x v="1"/>
    <n v="3981.2"/>
    <n v="4432.3499999999904"/>
    <x v="1"/>
    <n v="0.14000000000000001"/>
    <x v="0"/>
    <x v="0"/>
    <x v="15"/>
    <n v="451.14999999999054"/>
  </r>
  <r>
    <n v="1016"/>
    <x v="273"/>
    <x v="4"/>
    <x v="6"/>
    <n v="5401.98"/>
    <n v="2"/>
    <x v="3"/>
    <n v="3144.82"/>
    <n v="3480.58"/>
    <x v="0"/>
    <n v="0.12"/>
    <x v="0"/>
    <x v="1"/>
    <x v="17"/>
    <n v="335.75999999999976"/>
  </r>
  <r>
    <n v="1024"/>
    <x v="90"/>
    <x v="4"/>
    <x v="0"/>
    <n v="3633.17"/>
    <n v="22"/>
    <x v="1"/>
    <n v="4691.32"/>
    <n v="4752.88"/>
    <x v="0"/>
    <n v="7.0000000000000007E-2"/>
    <x v="1"/>
    <x v="1"/>
    <x v="9"/>
    <n v="61.5600000000004"/>
  </r>
  <r>
    <n v="1080"/>
    <x v="12"/>
    <x v="4"/>
    <x v="1"/>
    <n v="3602.51"/>
    <n v="32"/>
    <x v="3"/>
    <n v="3414.54"/>
    <n v="3753.83"/>
    <x v="1"/>
    <n v="0.22"/>
    <x v="0"/>
    <x v="1"/>
    <x v="18"/>
    <n v="339.28999999999996"/>
  </r>
  <r>
    <n v="1002"/>
    <x v="186"/>
    <x v="4"/>
    <x v="2"/>
    <n v="8302.7000000000007"/>
    <n v="16"/>
    <x v="0"/>
    <n v="2872.4"/>
    <n v="3193.76"/>
    <x v="0"/>
    <n v="0.04"/>
    <x v="2"/>
    <x v="0"/>
    <x v="9"/>
    <n v="321.36000000000013"/>
  </r>
  <r>
    <n v="1092"/>
    <x v="218"/>
    <x v="0"/>
    <x v="3"/>
    <n v="7914"/>
    <n v="18"/>
    <x v="1"/>
    <n v="3070.47"/>
    <n v="3475.29"/>
    <x v="0"/>
    <n v="0.2"/>
    <x v="1"/>
    <x v="0"/>
    <x v="3"/>
    <n v="404.82000000000016"/>
  </r>
  <r>
    <n v="1032"/>
    <x v="34"/>
    <x v="1"/>
    <x v="4"/>
    <n v="3147.18"/>
    <n v="5"/>
    <x v="1"/>
    <n v="4714.74"/>
    <n v="5129.1099999999997"/>
    <x v="1"/>
    <n v="0.25"/>
    <x v="1"/>
    <x v="0"/>
    <x v="16"/>
    <n v="414.36999999999989"/>
  </r>
  <r>
    <n v="1091"/>
    <x v="274"/>
    <x v="3"/>
    <x v="5"/>
    <n v="9146.51"/>
    <n v="36"/>
    <x v="3"/>
    <n v="3951.59"/>
    <n v="4387.01"/>
    <x v="1"/>
    <n v="7.0000000000000007E-2"/>
    <x v="1"/>
    <x v="1"/>
    <x v="8"/>
    <n v="435.42000000000007"/>
  </r>
  <r>
    <n v="1084"/>
    <x v="80"/>
    <x v="4"/>
    <x v="6"/>
    <n v="9532.8700000000008"/>
    <n v="30"/>
    <x v="1"/>
    <n v="169"/>
    <n v="381.91999999999899"/>
    <x v="0"/>
    <n v="0.26"/>
    <x v="0"/>
    <x v="1"/>
    <x v="18"/>
    <n v="212.91999999999899"/>
  </r>
  <r>
    <n v="1024"/>
    <x v="107"/>
    <x v="0"/>
    <x v="0"/>
    <n v="3334.75"/>
    <n v="45"/>
    <x v="2"/>
    <n v="2693.99"/>
    <n v="3045.9399999999901"/>
    <x v="1"/>
    <n v="0.01"/>
    <x v="0"/>
    <x v="1"/>
    <x v="3"/>
    <n v="351.94999999999027"/>
  </r>
  <r>
    <n v="1012"/>
    <x v="130"/>
    <x v="0"/>
    <x v="1"/>
    <n v="3608.81"/>
    <n v="19"/>
    <x v="0"/>
    <n v="3457.28"/>
    <n v="3598.72"/>
    <x v="1"/>
    <n v="0.27"/>
    <x v="1"/>
    <x v="0"/>
    <x v="12"/>
    <n v="141.4399999999996"/>
  </r>
  <r>
    <n v="1050"/>
    <x v="26"/>
    <x v="0"/>
    <x v="2"/>
    <n v="5105.78"/>
    <n v="23"/>
    <x v="0"/>
    <n v="3756.06"/>
    <n v="4255.7299999999996"/>
    <x v="0"/>
    <n v="0.04"/>
    <x v="0"/>
    <x v="0"/>
    <x v="3"/>
    <n v="499.66999999999962"/>
  </r>
  <r>
    <n v="1035"/>
    <x v="264"/>
    <x v="1"/>
    <x v="3"/>
    <n v="9417.1"/>
    <n v="34"/>
    <x v="1"/>
    <n v="1105.05"/>
    <n v="1200.96"/>
    <x v="0"/>
    <n v="0.19"/>
    <x v="0"/>
    <x v="0"/>
    <x v="2"/>
    <n v="95.910000000000082"/>
  </r>
  <r>
    <n v="1033"/>
    <x v="217"/>
    <x v="3"/>
    <x v="4"/>
    <n v="8775.56"/>
    <n v="13"/>
    <x v="1"/>
    <n v="4342.53"/>
    <n v="4357.49"/>
    <x v="1"/>
    <n v="0.08"/>
    <x v="1"/>
    <x v="0"/>
    <x v="14"/>
    <n v="14.960000000000036"/>
  </r>
  <r>
    <n v="1033"/>
    <x v="275"/>
    <x v="1"/>
    <x v="5"/>
    <n v="1115.42"/>
    <n v="43"/>
    <x v="2"/>
    <n v="4781.42"/>
    <n v="4864.34"/>
    <x v="0"/>
    <n v="0.25"/>
    <x v="1"/>
    <x v="0"/>
    <x v="11"/>
    <n v="82.920000000000073"/>
  </r>
  <r>
    <n v="1061"/>
    <x v="238"/>
    <x v="2"/>
    <x v="6"/>
    <n v="3988.03"/>
    <n v="29"/>
    <x v="2"/>
    <n v="1221.74"/>
    <n v="1611.92"/>
    <x v="1"/>
    <n v="0.15"/>
    <x v="0"/>
    <x v="1"/>
    <x v="4"/>
    <n v="390.18000000000006"/>
  </r>
  <r>
    <n v="1051"/>
    <x v="198"/>
    <x v="0"/>
    <x v="0"/>
    <n v="5578.37"/>
    <n v="36"/>
    <x v="1"/>
    <n v="4418.95"/>
    <n v="4647.87"/>
    <x v="1"/>
    <n v="0.04"/>
    <x v="1"/>
    <x v="0"/>
    <x v="0"/>
    <n v="228.92000000000007"/>
  </r>
  <r>
    <n v="1043"/>
    <x v="62"/>
    <x v="2"/>
    <x v="1"/>
    <n v="5081.01"/>
    <n v="22"/>
    <x v="1"/>
    <n v="530.04"/>
    <n v="759.31999999999903"/>
    <x v="0"/>
    <n v="0.17"/>
    <x v="1"/>
    <x v="1"/>
    <x v="10"/>
    <n v="229.27999999999906"/>
  </r>
  <r>
    <n v="1012"/>
    <x v="151"/>
    <x v="4"/>
    <x v="2"/>
    <n v="2019.24"/>
    <n v="47"/>
    <x v="2"/>
    <n v="325.75"/>
    <n v="803.71"/>
    <x v="1"/>
    <n v="0.12"/>
    <x v="1"/>
    <x v="1"/>
    <x v="9"/>
    <n v="477.96000000000004"/>
  </r>
  <r>
    <n v="1067"/>
    <x v="276"/>
    <x v="4"/>
    <x v="3"/>
    <n v="8602.2900000000009"/>
    <n v="36"/>
    <x v="3"/>
    <n v="689.66"/>
    <n v="1150.28"/>
    <x v="1"/>
    <n v="0.2"/>
    <x v="1"/>
    <x v="0"/>
    <x v="15"/>
    <n v="460.62"/>
  </r>
  <r>
    <n v="1065"/>
    <x v="174"/>
    <x v="1"/>
    <x v="4"/>
    <n v="6801.71"/>
    <n v="9"/>
    <x v="2"/>
    <n v="335.82"/>
    <n v="498.31"/>
    <x v="1"/>
    <n v="0.26"/>
    <x v="0"/>
    <x v="1"/>
    <x v="2"/>
    <n v="162.49"/>
  </r>
  <r>
    <n v="1033"/>
    <x v="118"/>
    <x v="3"/>
    <x v="5"/>
    <n v="8395.2900000000009"/>
    <n v="39"/>
    <x v="3"/>
    <n v="4232.8100000000004"/>
    <n v="4345.25"/>
    <x v="0"/>
    <n v="0.12"/>
    <x v="1"/>
    <x v="0"/>
    <x v="7"/>
    <n v="112.4399999999996"/>
  </r>
  <r>
    <n v="1040"/>
    <x v="120"/>
    <x v="2"/>
    <x v="6"/>
    <n v="8601.77"/>
    <n v="19"/>
    <x v="0"/>
    <n v="342.3"/>
    <n v="768.06"/>
    <x v="0"/>
    <n v="0.09"/>
    <x v="2"/>
    <x v="0"/>
    <x v="19"/>
    <n v="425.75999999999993"/>
  </r>
  <r>
    <n v="1074"/>
    <x v="21"/>
    <x v="3"/>
    <x v="0"/>
    <n v="7508.72"/>
    <n v="38"/>
    <x v="0"/>
    <n v="1394.74"/>
    <n v="1848.69"/>
    <x v="0"/>
    <n v="0"/>
    <x v="1"/>
    <x v="1"/>
    <x v="6"/>
    <n v="453.95000000000005"/>
  </r>
  <r>
    <n v="1043"/>
    <x v="89"/>
    <x v="1"/>
    <x v="1"/>
    <n v="4448.18"/>
    <n v="6"/>
    <x v="2"/>
    <n v="563.59"/>
    <n v="838.97"/>
    <x v="1"/>
    <n v="0.17"/>
    <x v="2"/>
    <x v="0"/>
    <x v="13"/>
    <n v="275.38"/>
  </r>
  <r>
    <n v="1044"/>
    <x v="150"/>
    <x v="4"/>
    <x v="2"/>
    <n v="6144.41"/>
    <n v="47"/>
    <x v="3"/>
    <n v="1512.34"/>
    <n v="1830.76"/>
    <x v="1"/>
    <n v="0.12"/>
    <x v="1"/>
    <x v="0"/>
    <x v="15"/>
    <n v="318.42000000000007"/>
  </r>
  <r>
    <n v="1029"/>
    <x v="67"/>
    <x v="3"/>
    <x v="3"/>
    <n v="1687.62"/>
    <n v="15"/>
    <x v="2"/>
    <n v="498.27"/>
    <n v="634.16"/>
    <x v="0"/>
    <n v="0.11"/>
    <x v="2"/>
    <x v="1"/>
    <x v="14"/>
    <n v="135.88999999999999"/>
  </r>
  <r>
    <n v="1013"/>
    <x v="271"/>
    <x v="3"/>
    <x v="4"/>
    <n v="6769.09"/>
    <n v="20"/>
    <x v="2"/>
    <n v="3356.62"/>
    <n v="3759.0099999999902"/>
    <x v="0"/>
    <n v="0.05"/>
    <x v="2"/>
    <x v="1"/>
    <x v="14"/>
    <n v="402.38999999999032"/>
  </r>
  <r>
    <n v="1012"/>
    <x v="264"/>
    <x v="4"/>
    <x v="5"/>
    <n v="1874.61"/>
    <n v="9"/>
    <x v="3"/>
    <n v="709.97"/>
    <n v="1029.71"/>
    <x v="0"/>
    <n v="0.13"/>
    <x v="1"/>
    <x v="1"/>
    <x v="9"/>
    <n v="319.74"/>
  </r>
  <r>
    <n v="1095"/>
    <x v="27"/>
    <x v="2"/>
    <x v="6"/>
    <n v="6970.1"/>
    <n v="32"/>
    <x v="2"/>
    <n v="4266.6400000000003"/>
    <n v="4523.3599999999997"/>
    <x v="1"/>
    <n v="0.3"/>
    <x v="1"/>
    <x v="1"/>
    <x v="5"/>
    <n v="256.71999999999935"/>
  </r>
  <r>
    <n v="1046"/>
    <x v="257"/>
    <x v="4"/>
    <x v="0"/>
    <n v="2373.02"/>
    <n v="4"/>
    <x v="0"/>
    <n v="4095.1"/>
    <n v="4134.55"/>
    <x v="0"/>
    <n v="0.09"/>
    <x v="1"/>
    <x v="1"/>
    <x v="9"/>
    <n v="39.450000000000273"/>
  </r>
  <r>
    <n v="1002"/>
    <x v="277"/>
    <x v="3"/>
    <x v="1"/>
    <n v="1263.76"/>
    <n v="18"/>
    <x v="1"/>
    <n v="117.63"/>
    <n v="576.44000000000005"/>
    <x v="1"/>
    <n v="0.18"/>
    <x v="2"/>
    <x v="1"/>
    <x v="8"/>
    <n v="458.81000000000006"/>
  </r>
  <r>
    <n v="1035"/>
    <x v="0"/>
    <x v="2"/>
    <x v="2"/>
    <n v="1736.32"/>
    <n v="5"/>
    <x v="1"/>
    <n v="4483.8500000000004"/>
    <n v="4795.42"/>
    <x v="0"/>
    <n v="0.23"/>
    <x v="0"/>
    <x v="0"/>
    <x v="19"/>
    <n v="311.56999999999971"/>
  </r>
  <r>
    <n v="1087"/>
    <x v="175"/>
    <x v="2"/>
    <x v="3"/>
    <n v="119.72"/>
    <n v="20"/>
    <x v="2"/>
    <n v="193.27"/>
    <n v="297.69"/>
    <x v="1"/>
    <n v="0.22"/>
    <x v="0"/>
    <x v="0"/>
    <x v="19"/>
    <n v="104.41999999999999"/>
  </r>
  <r>
    <n v="1081"/>
    <x v="29"/>
    <x v="4"/>
    <x v="4"/>
    <n v="7215.52"/>
    <n v="23"/>
    <x v="3"/>
    <n v="1236.25"/>
    <n v="1543.38"/>
    <x v="1"/>
    <n v="0.1"/>
    <x v="1"/>
    <x v="0"/>
    <x v="15"/>
    <n v="307.13000000000011"/>
  </r>
  <r>
    <n v="1090"/>
    <x v="278"/>
    <x v="3"/>
    <x v="5"/>
    <n v="7350.77"/>
    <n v="11"/>
    <x v="3"/>
    <n v="210.33"/>
    <n v="552.29"/>
    <x v="0"/>
    <n v="0.18"/>
    <x v="0"/>
    <x v="1"/>
    <x v="7"/>
    <n v="341.95999999999992"/>
  </r>
  <r>
    <n v="1008"/>
    <x v="149"/>
    <x v="1"/>
    <x v="6"/>
    <n v="5197.84"/>
    <n v="37"/>
    <x v="0"/>
    <n v="1712.43"/>
    <n v="1980.06"/>
    <x v="1"/>
    <n v="0.26"/>
    <x v="0"/>
    <x v="0"/>
    <x v="16"/>
    <n v="267.62999999999988"/>
  </r>
  <r>
    <n v="1093"/>
    <x v="279"/>
    <x v="3"/>
    <x v="0"/>
    <n v="1697.49"/>
    <n v="22"/>
    <x v="3"/>
    <n v="2593.64"/>
    <n v="2955.5099999999902"/>
    <x v="0"/>
    <n v="0"/>
    <x v="1"/>
    <x v="1"/>
    <x v="14"/>
    <n v="361.86999999999034"/>
  </r>
  <r>
    <n v="1026"/>
    <x v="209"/>
    <x v="0"/>
    <x v="1"/>
    <n v="927.19"/>
    <n v="4"/>
    <x v="3"/>
    <n v="3993.39"/>
    <n v="4288.3"/>
    <x v="1"/>
    <n v="0.13"/>
    <x v="2"/>
    <x v="0"/>
    <x v="3"/>
    <n v="294.91000000000031"/>
  </r>
  <r>
    <n v="1074"/>
    <x v="257"/>
    <x v="1"/>
    <x v="2"/>
    <n v="289.38"/>
    <n v="29"/>
    <x v="0"/>
    <n v="1723.01"/>
    <n v="2197.42"/>
    <x v="1"/>
    <n v="7.0000000000000007E-2"/>
    <x v="1"/>
    <x v="1"/>
    <x v="13"/>
    <n v="474.41000000000008"/>
  </r>
  <r>
    <n v="1090"/>
    <x v="118"/>
    <x v="2"/>
    <x v="3"/>
    <n v="1740.91"/>
    <n v="44"/>
    <x v="2"/>
    <n v="3542.18"/>
    <n v="3578.49"/>
    <x v="0"/>
    <n v="0.12"/>
    <x v="0"/>
    <x v="0"/>
    <x v="19"/>
    <n v="36.309999999999945"/>
  </r>
  <r>
    <n v="1034"/>
    <x v="146"/>
    <x v="1"/>
    <x v="4"/>
    <n v="8919.4699999999993"/>
    <n v="34"/>
    <x v="1"/>
    <n v="978.15"/>
    <n v="1040.21"/>
    <x v="1"/>
    <n v="0.12"/>
    <x v="2"/>
    <x v="1"/>
    <x v="11"/>
    <n v="62.060000000000059"/>
  </r>
  <r>
    <n v="1007"/>
    <x v="157"/>
    <x v="2"/>
    <x v="5"/>
    <n v="2491.21"/>
    <n v="13"/>
    <x v="0"/>
    <n v="3765.46"/>
    <n v="3860.56"/>
    <x v="0"/>
    <n v="0.22"/>
    <x v="0"/>
    <x v="1"/>
    <x v="5"/>
    <n v="95.099999999999909"/>
  </r>
  <r>
    <n v="1068"/>
    <x v="24"/>
    <x v="2"/>
    <x v="6"/>
    <n v="3607.29"/>
    <n v="42"/>
    <x v="2"/>
    <n v="1218.18"/>
    <n v="1566.36"/>
    <x v="0"/>
    <n v="0.03"/>
    <x v="2"/>
    <x v="1"/>
    <x v="5"/>
    <n v="348.17999999999984"/>
  </r>
  <r>
    <n v="1058"/>
    <x v="280"/>
    <x v="1"/>
    <x v="0"/>
    <n v="1142.92"/>
    <n v="9"/>
    <x v="0"/>
    <n v="760.55"/>
    <n v="1086.8899999999901"/>
    <x v="0"/>
    <n v="0.15"/>
    <x v="0"/>
    <x v="1"/>
    <x v="2"/>
    <n v="326.33999999999014"/>
  </r>
  <r>
    <n v="1075"/>
    <x v="3"/>
    <x v="2"/>
    <x v="1"/>
    <n v="2301.38"/>
    <n v="42"/>
    <x v="2"/>
    <n v="967.77"/>
    <n v="1414.88"/>
    <x v="1"/>
    <n v="0.17"/>
    <x v="1"/>
    <x v="0"/>
    <x v="5"/>
    <n v="447.11000000000013"/>
  </r>
  <r>
    <n v="1029"/>
    <x v="281"/>
    <x v="2"/>
    <x v="2"/>
    <n v="5240.32"/>
    <n v="31"/>
    <x v="0"/>
    <n v="951.21"/>
    <n v="1320.32"/>
    <x v="1"/>
    <n v="0.15"/>
    <x v="0"/>
    <x v="0"/>
    <x v="19"/>
    <n v="369.1099999999999"/>
  </r>
  <r>
    <n v="1036"/>
    <x v="282"/>
    <x v="0"/>
    <x v="3"/>
    <n v="6116.75"/>
    <n v="7"/>
    <x v="2"/>
    <n v="2588.67"/>
    <n v="2847.76"/>
    <x v="1"/>
    <n v="0.22"/>
    <x v="0"/>
    <x v="1"/>
    <x v="0"/>
    <n v="259.09000000000015"/>
  </r>
  <r>
    <n v="1089"/>
    <x v="3"/>
    <x v="3"/>
    <x v="4"/>
    <n v="2528.9899999999998"/>
    <n v="4"/>
    <x v="0"/>
    <n v="4231.75"/>
    <n v="4727.75"/>
    <x v="0"/>
    <n v="0.12"/>
    <x v="2"/>
    <x v="1"/>
    <x v="7"/>
    <n v="496"/>
  </r>
  <r>
    <n v="1021"/>
    <x v="208"/>
    <x v="3"/>
    <x v="5"/>
    <n v="671.55"/>
    <n v="19"/>
    <x v="2"/>
    <n v="444.05"/>
    <n v="584.44000000000005"/>
    <x v="0"/>
    <n v="0.28000000000000003"/>
    <x v="0"/>
    <x v="1"/>
    <x v="7"/>
    <n v="140.39000000000004"/>
  </r>
  <r>
    <n v="1036"/>
    <x v="199"/>
    <x v="0"/>
    <x v="6"/>
    <n v="3971.23"/>
    <n v="42"/>
    <x v="0"/>
    <n v="3549.43"/>
    <n v="3967.6899999999901"/>
    <x v="1"/>
    <n v="0.14000000000000001"/>
    <x v="1"/>
    <x v="0"/>
    <x v="0"/>
    <n v="418.25999999999021"/>
  </r>
  <r>
    <n v="1010"/>
    <x v="197"/>
    <x v="1"/>
    <x v="0"/>
    <n v="2418.61"/>
    <n v="30"/>
    <x v="1"/>
    <n v="3289.01"/>
    <n v="3508.14"/>
    <x v="1"/>
    <n v="0.17"/>
    <x v="1"/>
    <x v="1"/>
    <x v="2"/>
    <n v="219.12999999999965"/>
  </r>
  <r>
    <n v="1073"/>
    <x v="283"/>
    <x v="4"/>
    <x v="1"/>
    <n v="2273.58"/>
    <n v="31"/>
    <x v="1"/>
    <n v="4368.97"/>
    <n v="4696.8500000000004"/>
    <x v="0"/>
    <n v="0.25"/>
    <x v="1"/>
    <x v="1"/>
    <x v="15"/>
    <n v="327.88000000000011"/>
  </r>
  <r>
    <n v="1024"/>
    <x v="284"/>
    <x v="4"/>
    <x v="2"/>
    <n v="9602.64"/>
    <n v="35"/>
    <x v="3"/>
    <n v="1258.53"/>
    <n v="1624.8899999999901"/>
    <x v="1"/>
    <n v="0.08"/>
    <x v="2"/>
    <x v="0"/>
    <x v="9"/>
    <n v="366.35999999999012"/>
  </r>
  <r>
    <n v="1064"/>
    <x v="177"/>
    <x v="4"/>
    <x v="3"/>
    <n v="6201.37"/>
    <n v="21"/>
    <x v="2"/>
    <n v="2278.04"/>
    <n v="2598.58"/>
    <x v="0"/>
    <n v="0.02"/>
    <x v="2"/>
    <x v="1"/>
    <x v="15"/>
    <n v="320.53999999999996"/>
  </r>
  <r>
    <n v="1099"/>
    <x v="285"/>
    <x v="0"/>
    <x v="4"/>
    <n v="5613.1"/>
    <n v="31"/>
    <x v="0"/>
    <n v="4632.8500000000004"/>
    <n v="4711.7"/>
    <x v="1"/>
    <n v="0.21"/>
    <x v="0"/>
    <x v="1"/>
    <x v="12"/>
    <n v="78.849999999999454"/>
  </r>
  <r>
    <n v="1049"/>
    <x v="60"/>
    <x v="0"/>
    <x v="5"/>
    <n v="4216.17"/>
    <n v="19"/>
    <x v="2"/>
    <n v="3316.97"/>
    <n v="3544.02"/>
    <x v="0"/>
    <n v="0.14000000000000001"/>
    <x v="0"/>
    <x v="0"/>
    <x v="12"/>
    <n v="227.05000000000018"/>
  </r>
  <r>
    <n v="1099"/>
    <x v="189"/>
    <x v="2"/>
    <x v="6"/>
    <n v="4346.55"/>
    <n v="31"/>
    <x v="1"/>
    <n v="1974.4"/>
    <n v="2259.5"/>
    <x v="1"/>
    <n v="0.27"/>
    <x v="0"/>
    <x v="1"/>
    <x v="4"/>
    <n v="285.09999999999991"/>
  </r>
  <r>
    <n v="1036"/>
    <x v="50"/>
    <x v="4"/>
    <x v="0"/>
    <n v="5454.96"/>
    <n v="32"/>
    <x v="2"/>
    <n v="700.49"/>
    <n v="1126.52"/>
    <x v="1"/>
    <n v="0.28999999999999998"/>
    <x v="2"/>
    <x v="1"/>
    <x v="18"/>
    <n v="426.03"/>
  </r>
  <r>
    <n v="1082"/>
    <x v="239"/>
    <x v="1"/>
    <x v="1"/>
    <n v="6994.66"/>
    <n v="2"/>
    <x v="0"/>
    <n v="1349.3"/>
    <n v="1576.69"/>
    <x v="0"/>
    <n v="0.12"/>
    <x v="2"/>
    <x v="0"/>
    <x v="2"/>
    <n v="227.3900000000001"/>
  </r>
  <r>
    <n v="1096"/>
    <x v="62"/>
    <x v="1"/>
    <x v="2"/>
    <n v="7051.25"/>
    <n v="10"/>
    <x v="2"/>
    <n v="2927.02"/>
    <n v="3387.21"/>
    <x v="0"/>
    <n v="0.12"/>
    <x v="0"/>
    <x v="1"/>
    <x v="2"/>
    <n v="460.19000000000005"/>
  </r>
  <r>
    <n v="1024"/>
    <x v="115"/>
    <x v="4"/>
    <x v="3"/>
    <n v="1799.77"/>
    <n v="2"/>
    <x v="0"/>
    <n v="3604.93"/>
    <n v="3830.71"/>
    <x v="0"/>
    <n v="0.12"/>
    <x v="2"/>
    <x v="0"/>
    <x v="17"/>
    <n v="225.7800000000002"/>
  </r>
  <r>
    <n v="1023"/>
    <x v="251"/>
    <x v="4"/>
    <x v="4"/>
    <n v="5051.12"/>
    <n v="2"/>
    <x v="1"/>
    <n v="665.89"/>
    <n v="944.79"/>
    <x v="1"/>
    <n v="0.1"/>
    <x v="2"/>
    <x v="1"/>
    <x v="15"/>
    <n v="278.89999999999998"/>
  </r>
  <r>
    <n v="1062"/>
    <x v="260"/>
    <x v="4"/>
    <x v="5"/>
    <n v="4178.3900000000003"/>
    <n v="24"/>
    <x v="1"/>
    <n v="3018.01"/>
    <n v="3418.19"/>
    <x v="0"/>
    <n v="0.23"/>
    <x v="1"/>
    <x v="1"/>
    <x v="18"/>
    <n v="400.17999999999984"/>
  </r>
  <r>
    <n v="1096"/>
    <x v="82"/>
    <x v="0"/>
    <x v="6"/>
    <n v="8718.2199999999993"/>
    <n v="17"/>
    <x v="1"/>
    <n v="2774.24"/>
    <n v="3069.9399999999901"/>
    <x v="0"/>
    <n v="0.23"/>
    <x v="1"/>
    <x v="1"/>
    <x v="3"/>
    <n v="295.69999999999027"/>
  </r>
  <r>
    <n v="1037"/>
    <x v="176"/>
    <x v="0"/>
    <x v="0"/>
    <n v="6351.05"/>
    <n v="32"/>
    <x v="3"/>
    <n v="2594.08"/>
    <n v="3074.59"/>
    <x v="1"/>
    <n v="0.14000000000000001"/>
    <x v="0"/>
    <x v="1"/>
    <x v="0"/>
    <n v="480.51000000000022"/>
  </r>
  <r>
    <n v="1012"/>
    <x v="56"/>
    <x v="0"/>
    <x v="1"/>
    <n v="5371.79"/>
    <n v="16"/>
    <x v="1"/>
    <n v="3466.11"/>
    <n v="3799.67"/>
    <x v="0"/>
    <n v="0.01"/>
    <x v="0"/>
    <x v="1"/>
    <x v="0"/>
    <n v="333.55999999999995"/>
  </r>
  <r>
    <n v="1055"/>
    <x v="255"/>
    <x v="3"/>
    <x v="2"/>
    <n v="1242.4100000000001"/>
    <n v="16"/>
    <x v="2"/>
    <n v="4195.38"/>
    <n v="4461.51"/>
    <x v="0"/>
    <n v="0.09"/>
    <x v="1"/>
    <x v="0"/>
    <x v="6"/>
    <n v="266.13000000000011"/>
  </r>
  <r>
    <n v="1013"/>
    <x v="62"/>
    <x v="1"/>
    <x v="3"/>
    <n v="6095.82"/>
    <n v="46"/>
    <x v="3"/>
    <n v="1648.8"/>
    <n v="1670.36"/>
    <x v="0"/>
    <n v="0.09"/>
    <x v="2"/>
    <x v="1"/>
    <x v="16"/>
    <n v="21.559999999999945"/>
  </r>
  <r>
    <n v="1023"/>
    <x v="263"/>
    <x v="1"/>
    <x v="4"/>
    <n v="1260.32"/>
    <n v="39"/>
    <x v="1"/>
    <n v="4450.6099999999997"/>
    <n v="4663.3399999999901"/>
    <x v="1"/>
    <n v="0.24"/>
    <x v="0"/>
    <x v="1"/>
    <x v="13"/>
    <n v="212.72999999999047"/>
  </r>
  <r>
    <n v="1089"/>
    <x v="18"/>
    <x v="2"/>
    <x v="5"/>
    <n v="3438.35"/>
    <n v="31"/>
    <x v="2"/>
    <n v="845.14"/>
    <n v="1001.77"/>
    <x v="1"/>
    <n v="0.03"/>
    <x v="0"/>
    <x v="0"/>
    <x v="19"/>
    <n v="156.63"/>
  </r>
  <r>
    <n v="1099"/>
    <x v="105"/>
    <x v="0"/>
    <x v="6"/>
    <n v="1514.14"/>
    <n v="43"/>
    <x v="2"/>
    <n v="906.47"/>
    <n v="1283.04"/>
    <x v="1"/>
    <n v="0.24"/>
    <x v="0"/>
    <x v="0"/>
    <x v="1"/>
    <n v="376.56999999999994"/>
  </r>
  <r>
    <n v="1030"/>
    <x v="78"/>
    <x v="3"/>
    <x v="0"/>
    <n v="6951.53"/>
    <n v="24"/>
    <x v="2"/>
    <n v="1370.52"/>
    <n v="1482.58"/>
    <x v="0"/>
    <n v="0.2"/>
    <x v="2"/>
    <x v="1"/>
    <x v="14"/>
    <n v="112.05999999999995"/>
  </r>
  <r>
    <n v="1017"/>
    <x v="146"/>
    <x v="3"/>
    <x v="1"/>
    <n v="2141.9"/>
    <n v="1"/>
    <x v="0"/>
    <n v="641.67999999999995"/>
    <n v="752.24"/>
    <x v="1"/>
    <n v="0.22"/>
    <x v="1"/>
    <x v="0"/>
    <x v="14"/>
    <n v="110.56000000000006"/>
  </r>
  <r>
    <n v="1062"/>
    <x v="176"/>
    <x v="1"/>
    <x v="2"/>
    <n v="3979.41"/>
    <n v="11"/>
    <x v="3"/>
    <n v="1190.08"/>
    <n v="1292.9399999999901"/>
    <x v="0"/>
    <n v="0.13"/>
    <x v="0"/>
    <x v="1"/>
    <x v="13"/>
    <n v="102.85999999999012"/>
  </r>
  <r>
    <n v="1084"/>
    <x v="142"/>
    <x v="0"/>
    <x v="3"/>
    <n v="8967.18"/>
    <n v="21"/>
    <x v="2"/>
    <n v="576.74"/>
    <n v="648.29"/>
    <x v="0"/>
    <n v="0.2"/>
    <x v="1"/>
    <x v="0"/>
    <x v="12"/>
    <n v="71.549999999999955"/>
  </r>
  <r>
    <n v="1089"/>
    <x v="42"/>
    <x v="2"/>
    <x v="4"/>
    <n v="2122.73"/>
    <n v="4"/>
    <x v="0"/>
    <n v="4117.67"/>
    <n v="4280.0600000000004"/>
    <x v="0"/>
    <n v="0.18"/>
    <x v="1"/>
    <x v="0"/>
    <x v="19"/>
    <n v="162.39000000000033"/>
  </r>
  <r>
    <n v="1086"/>
    <x v="65"/>
    <x v="0"/>
    <x v="5"/>
    <n v="5127.2700000000004"/>
    <n v="7"/>
    <x v="1"/>
    <n v="737.9"/>
    <n v="1182"/>
    <x v="1"/>
    <n v="0.23"/>
    <x v="2"/>
    <x v="1"/>
    <x v="1"/>
    <n v="444.1"/>
  </r>
  <r>
    <n v="1013"/>
    <x v="11"/>
    <x v="4"/>
    <x v="6"/>
    <n v="4250.79"/>
    <n v="26"/>
    <x v="2"/>
    <n v="3749.12"/>
    <n v="4138.83"/>
    <x v="1"/>
    <n v="0.13"/>
    <x v="2"/>
    <x v="0"/>
    <x v="18"/>
    <n v="389.71000000000004"/>
  </r>
  <r>
    <n v="1059"/>
    <x v="115"/>
    <x v="0"/>
    <x v="0"/>
    <n v="279.43"/>
    <n v="47"/>
    <x v="0"/>
    <n v="287.17"/>
    <n v="657.44"/>
    <x v="0"/>
    <n v="0.14000000000000001"/>
    <x v="2"/>
    <x v="1"/>
    <x v="1"/>
    <n v="370.27000000000004"/>
  </r>
  <r>
    <n v="1019"/>
    <x v="272"/>
    <x v="4"/>
    <x v="1"/>
    <n v="7948.31"/>
    <n v="12"/>
    <x v="2"/>
    <n v="4745.18"/>
    <n v="5145.88"/>
    <x v="0"/>
    <n v="0.19"/>
    <x v="2"/>
    <x v="0"/>
    <x v="15"/>
    <n v="400.69999999999982"/>
  </r>
  <r>
    <n v="1049"/>
    <x v="286"/>
    <x v="4"/>
    <x v="2"/>
    <n v="783.55"/>
    <n v="31"/>
    <x v="3"/>
    <n v="3570.24"/>
    <n v="3712.25"/>
    <x v="1"/>
    <n v="0.03"/>
    <x v="2"/>
    <x v="0"/>
    <x v="18"/>
    <n v="142.01000000000022"/>
  </r>
  <r>
    <n v="1100"/>
    <x v="287"/>
    <x v="2"/>
    <x v="3"/>
    <n v="4795.12"/>
    <n v="17"/>
    <x v="3"/>
    <n v="83.64"/>
    <n v="528.49"/>
    <x v="1"/>
    <n v="0.13"/>
    <x v="2"/>
    <x v="0"/>
    <x v="19"/>
    <n v="444.85"/>
  </r>
  <r>
    <n v="1012"/>
    <x v="229"/>
    <x v="1"/>
    <x v="4"/>
    <n v="5650.72"/>
    <n v="33"/>
    <x v="1"/>
    <n v="3831.09"/>
    <n v="3908.37"/>
    <x v="1"/>
    <n v="0.28999999999999998"/>
    <x v="0"/>
    <x v="1"/>
    <x v="16"/>
    <n v="77.279999999999745"/>
  </r>
  <r>
    <n v="1061"/>
    <x v="288"/>
    <x v="0"/>
    <x v="5"/>
    <n v="6321.42"/>
    <n v="11"/>
    <x v="2"/>
    <n v="2594.71"/>
    <n v="2769.52"/>
    <x v="0"/>
    <n v="0.01"/>
    <x v="1"/>
    <x v="1"/>
    <x v="3"/>
    <n v="174.80999999999995"/>
  </r>
  <r>
    <n v="1019"/>
    <x v="141"/>
    <x v="4"/>
    <x v="6"/>
    <n v="6917.45"/>
    <n v="28"/>
    <x v="0"/>
    <n v="3907.86"/>
    <n v="4205.37"/>
    <x v="1"/>
    <n v="0.09"/>
    <x v="2"/>
    <x v="0"/>
    <x v="18"/>
    <n v="297.50999999999976"/>
  </r>
  <r>
    <n v="1076"/>
    <x v="89"/>
    <x v="0"/>
    <x v="0"/>
    <n v="2607.4"/>
    <n v="32"/>
    <x v="1"/>
    <n v="2636.36"/>
    <n v="2696.78"/>
    <x v="1"/>
    <n v="0.09"/>
    <x v="0"/>
    <x v="1"/>
    <x v="1"/>
    <n v="60.420000000000073"/>
  </r>
  <r>
    <n v="1009"/>
    <x v="113"/>
    <x v="1"/>
    <x v="1"/>
    <n v="198.79"/>
    <n v="1"/>
    <x v="2"/>
    <n v="3223.07"/>
    <n v="3590.83"/>
    <x v="1"/>
    <n v="0.19"/>
    <x v="1"/>
    <x v="1"/>
    <x v="16"/>
    <n v="367.75999999999976"/>
  </r>
  <r>
    <n v="1071"/>
    <x v="250"/>
    <x v="1"/>
    <x v="2"/>
    <n v="7262.09"/>
    <n v="47"/>
    <x v="1"/>
    <n v="3942.34"/>
    <n v="4142.09"/>
    <x v="0"/>
    <n v="0.03"/>
    <x v="2"/>
    <x v="1"/>
    <x v="11"/>
    <n v="199.75"/>
  </r>
  <r>
    <n v="1028"/>
    <x v="30"/>
    <x v="3"/>
    <x v="3"/>
    <n v="5403"/>
    <n v="28"/>
    <x v="0"/>
    <n v="2055.2800000000002"/>
    <n v="2449.64"/>
    <x v="1"/>
    <n v="0.19"/>
    <x v="2"/>
    <x v="0"/>
    <x v="7"/>
    <n v="394.35999999999967"/>
  </r>
  <r>
    <n v="1078"/>
    <x v="200"/>
    <x v="1"/>
    <x v="4"/>
    <n v="8377.57"/>
    <n v="42"/>
    <x v="1"/>
    <n v="63.41"/>
    <n v="314.93"/>
    <x v="0"/>
    <n v="0.03"/>
    <x v="0"/>
    <x v="1"/>
    <x v="16"/>
    <n v="251.52"/>
  </r>
  <r>
    <n v="1095"/>
    <x v="128"/>
    <x v="2"/>
    <x v="5"/>
    <n v="8231.74"/>
    <n v="7"/>
    <x v="1"/>
    <n v="4257.24"/>
    <n v="4355.87"/>
    <x v="0"/>
    <n v="0.03"/>
    <x v="1"/>
    <x v="0"/>
    <x v="5"/>
    <n v="98.630000000000109"/>
  </r>
  <r>
    <n v="1052"/>
    <x v="289"/>
    <x v="4"/>
    <x v="6"/>
    <n v="8448.93"/>
    <n v="2"/>
    <x v="1"/>
    <n v="1935.41"/>
    <n v="2305.44"/>
    <x v="0"/>
    <n v="0.22"/>
    <x v="2"/>
    <x v="0"/>
    <x v="9"/>
    <n v="370.03"/>
  </r>
  <r>
    <n v="1083"/>
    <x v="11"/>
    <x v="3"/>
    <x v="0"/>
    <n v="4902.4399999999996"/>
    <n v="42"/>
    <x v="2"/>
    <n v="2505.41"/>
    <n v="2638.96"/>
    <x v="1"/>
    <n v="0.1"/>
    <x v="1"/>
    <x v="0"/>
    <x v="8"/>
    <n v="133.55000000000018"/>
  </r>
  <r>
    <n v="1016"/>
    <x v="163"/>
    <x v="2"/>
    <x v="1"/>
    <n v="3402.92"/>
    <n v="24"/>
    <x v="0"/>
    <n v="88.44"/>
    <n v="338.94"/>
    <x v="1"/>
    <n v="0.28999999999999998"/>
    <x v="0"/>
    <x v="0"/>
    <x v="10"/>
    <n v="250.5"/>
  </r>
  <r>
    <n v="1069"/>
    <x v="148"/>
    <x v="0"/>
    <x v="2"/>
    <n v="7936.43"/>
    <n v="4"/>
    <x v="3"/>
    <n v="2485.86"/>
    <n v="2532.87"/>
    <x v="1"/>
    <n v="0.01"/>
    <x v="2"/>
    <x v="0"/>
    <x v="0"/>
    <n v="47.009999999999764"/>
  </r>
  <r>
    <n v="1099"/>
    <x v="290"/>
    <x v="4"/>
    <x v="3"/>
    <n v="4567.8100000000004"/>
    <n v="44"/>
    <x v="2"/>
    <n v="4933.1099999999997"/>
    <n v="5245.86"/>
    <x v="0"/>
    <n v="0.13"/>
    <x v="1"/>
    <x v="1"/>
    <x v="17"/>
    <n v="312.75"/>
  </r>
  <r>
    <n v="1012"/>
    <x v="66"/>
    <x v="1"/>
    <x v="4"/>
    <n v="1916.08"/>
    <n v="19"/>
    <x v="3"/>
    <n v="1427.42"/>
    <n v="1763.69"/>
    <x v="1"/>
    <n v="0.03"/>
    <x v="0"/>
    <x v="1"/>
    <x v="2"/>
    <n v="336.27"/>
  </r>
  <r>
    <n v="1025"/>
    <x v="291"/>
    <x v="4"/>
    <x v="5"/>
    <n v="8564.24"/>
    <n v="26"/>
    <x v="3"/>
    <n v="2007.32"/>
    <n v="2202.87"/>
    <x v="0"/>
    <n v="0.11"/>
    <x v="0"/>
    <x v="0"/>
    <x v="18"/>
    <n v="195.54999999999995"/>
  </r>
  <r>
    <n v="1052"/>
    <x v="99"/>
    <x v="0"/>
    <x v="6"/>
    <n v="8837.34"/>
    <n v="11"/>
    <x v="2"/>
    <n v="3451.59"/>
    <n v="3929.26"/>
    <x v="1"/>
    <n v="0.3"/>
    <x v="2"/>
    <x v="1"/>
    <x v="0"/>
    <n v="477.67000000000007"/>
  </r>
  <r>
    <n v="1085"/>
    <x v="70"/>
    <x v="3"/>
    <x v="0"/>
    <n v="4716.47"/>
    <n v="40"/>
    <x v="2"/>
    <n v="4083.23"/>
    <n v="4521.57"/>
    <x v="1"/>
    <n v="0.27"/>
    <x v="1"/>
    <x v="1"/>
    <x v="14"/>
    <n v="438.33999999999969"/>
  </r>
  <r>
    <n v="1100"/>
    <x v="206"/>
    <x v="3"/>
    <x v="1"/>
    <n v="849.43"/>
    <n v="43"/>
    <x v="0"/>
    <n v="2116.09"/>
    <n v="2472.98"/>
    <x v="1"/>
    <n v="0.01"/>
    <x v="2"/>
    <x v="1"/>
    <x v="7"/>
    <n v="356.88999999999987"/>
  </r>
  <r>
    <n v="1053"/>
    <x v="57"/>
    <x v="3"/>
    <x v="2"/>
    <n v="3939.48"/>
    <n v="11"/>
    <x v="0"/>
    <n v="1582.86"/>
    <n v="1942.55"/>
    <x v="1"/>
    <n v="0.17"/>
    <x v="2"/>
    <x v="1"/>
    <x v="8"/>
    <n v="359.69000000000005"/>
  </r>
  <r>
    <n v="1023"/>
    <x v="186"/>
    <x v="1"/>
    <x v="3"/>
    <n v="8055.02"/>
    <n v="45"/>
    <x v="1"/>
    <n v="4692.24"/>
    <n v="4825.92"/>
    <x v="0"/>
    <n v="0.19"/>
    <x v="1"/>
    <x v="1"/>
    <x v="13"/>
    <n v="133.68000000000029"/>
  </r>
  <r>
    <n v="1016"/>
    <x v="177"/>
    <x v="2"/>
    <x v="4"/>
    <n v="9027.56"/>
    <n v="3"/>
    <x v="3"/>
    <n v="3401.87"/>
    <n v="3733.71"/>
    <x v="0"/>
    <n v="0.06"/>
    <x v="1"/>
    <x v="1"/>
    <x v="19"/>
    <n v="331.84000000000015"/>
  </r>
  <r>
    <n v="1057"/>
    <x v="231"/>
    <x v="2"/>
    <x v="5"/>
    <n v="2114.38"/>
    <n v="12"/>
    <x v="0"/>
    <n v="639.16"/>
    <n v="746.28"/>
    <x v="0"/>
    <n v="0.04"/>
    <x v="1"/>
    <x v="1"/>
    <x v="19"/>
    <n v="107.12"/>
  </r>
  <r>
    <n v="1039"/>
    <x v="292"/>
    <x v="4"/>
    <x v="6"/>
    <n v="763.04"/>
    <n v="3"/>
    <x v="1"/>
    <n v="391.19"/>
    <n v="471.75"/>
    <x v="0"/>
    <n v="0.27"/>
    <x v="0"/>
    <x v="0"/>
    <x v="15"/>
    <n v="80.56"/>
  </r>
  <r>
    <n v="1053"/>
    <x v="54"/>
    <x v="1"/>
    <x v="0"/>
    <n v="8785.77"/>
    <n v="42"/>
    <x v="0"/>
    <n v="2443.5700000000002"/>
    <n v="2943.31"/>
    <x v="1"/>
    <n v="0.28999999999999998"/>
    <x v="0"/>
    <x v="0"/>
    <x v="13"/>
    <n v="499.73999999999978"/>
  </r>
  <r>
    <n v="1042"/>
    <x v="290"/>
    <x v="3"/>
    <x v="1"/>
    <n v="3955.11"/>
    <n v="27"/>
    <x v="2"/>
    <n v="1139.45"/>
    <n v="1454.41"/>
    <x v="0"/>
    <n v="0.3"/>
    <x v="1"/>
    <x v="0"/>
    <x v="6"/>
    <n v="314.96000000000004"/>
  </r>
  <r>
    <n v="1058"/>
    <x v="263"/>
    <x v="3"/>
    <x v="2"/>
    <n v="5463.43"/>
    <n v="49"/>
    <x v="0"/>
    <n v="1307.22"/>
    <n v="1528.4"/>
    <x v="0"/>
    <n v="0.24"/>
    <x v="0"/>
    <x v="1"/>
    <x v="14"/>
    <n v="221.18000000000006"/>
  </r>
  <r>
    <n v="1039"/>
    <x v="68"/>
    <x v="0"/>
    <x v="3"/>
    <n v="9683.85"/>
    <n v="2"/>
    <x v="3"/>
    <n v="4394.58"/>
    <n v="4545.78"/>
    <x v="0"/>
    <n v="0.2"/>
    <x v="2"/>
    <x v="1"/>
    <x v="12"/>
    <n v="151.19999999999982"/>
  </r>
  <r>
    <n v="1014"/>
    <x v="293"/>
    <x v="0"/>
    <x v="4"/>
    <n v="758.99"/>
    <n v="49"/>
    <x v="0"/>
    <n v="493.35"/>
    <n v="799.27"/>
    <x v="1"/>
    <n v="0.1"/>
    <x v="1"/>
    <x v="0"/>
    <x v="1"/>
    <n v="305.91999999999996"/>
  </r>
  <r>
    <n v="1095"/>
    <x v="42"/>
    <x v="3"/>
    <x v="5"/>
    <n v="6518.35"/>
    <n v="16"/>
    <x v="3"/>
    <n v="3591.05"/>
    <n v="3625.35"/>
    <x v="0"/>
    <n v="0.05"/>
    <x v="2"/>
    <x v="1"/>
    <x v="14"/>
    <n v="34.299999999999727"/>
  </r>
  <r>
    <n v="1005"/>
    <x v="116"/>
    <x v="3"/>
    <x v="6"/>
    <n v="833.64"/>
    <n v="2"/>
    <x v="2"/>
    <n v="1392.15"/>
    <n v="1448.54"/>
    <x v="0"/>
    <n v="0.02"/>
    <x v="1"/>
    <x v="1"/>
    <x v="7"/>
    <n v="56.389999999999873"/>
  </r>
  <r>
    <n v="1035"/>
    <x v="133"/>
    <x v="1"/>
    <x v="0"/>
    <n v="3817.14"/>
    <n v="30"/>
    <x v="3"/>
    <n v="3813.62"/>
    <n v="3839.72"/>
    <x v="1"/>
    <n v="0.21"/>
    <x v="2"/>
    <x v="0"/>
    <x v="2"/>
    <n v="26.099999999999909"/>
  </r>
  <r>
    <n v="1087"/>
    <x v="285"/>
    <x v="2"/>
    <x v="1"/>
    <n v="8057.76"/>
    <n v="20"/>
    <x v="0"/>
    <n v="3625.94"/>
    <n v="3880.53"/>
    <x v="1"/>
    <n v="0.24"/>
    <x v="1"/>
    <x v="0"/>
    <x v="4"/>
    <n v="254.59000000000015"/>
  </r>
  <r>
    <n v="1093"/>
    <x v="294"/>
    <x v="0"/>
    <x v="2"/>
    <n v="4391.38"/>
    <n v="38"/>
    <x v="1"/>
    <n v="86.59"/>
    <n v="390.89"/>
    <x v="0"/>
    <n v="0.25"/>
    <x v="2"/>
    <x v="0"/>
    <x v="3"/>
    <n v="304.29999999999995"/>
  </r>
  <r>
    <n v="1075"/>
    <x v="257"/>
    <x v="2"/>
    <x v="3"/>
    <n v="9972.11"/>
    <n v="28"/>
    <x v="2"/>
    <n v="2570.2199999999998"/>
    <n v="2610.8399999999901"/>
    <x v="0"/>
    <n v="0.27"/>
    <x v="1"/>
    <x v="1"/>
    <x v="19"/>
    <n v="40.619999999990341"/>
  </r>
  <r>
    <n v="1018"/>
    <x v="278"/>
    <x v="1"/>
    <x v="4"/>
    <n v="5634.69"/>
    <n v="25"/>
    <x v="0"/>
    <n v="739.63"/>
    <n v="1103.03"/>
    <x v="1"/>
    <n v="0.26"/>
    <x v="1"/>
    <x v="1"/>
    <x v="16"/>
    <n v="363.4"/>
  </r>
  <r>
    <n v="1076"/>
    <x v="211"/>
    <x v="3"/>
    <x v="5"/>
    <n v="3279.51"/>
    <n v="32"/>
    <x v="2"/>
    <n v="4337.82"/>
    <n v="4460.71"/>
    <x v="0"/>
    <n v="0.3"/>
    <x v="0"/>
    <x v="1"/>
    <x v="8"/>
    <n v="122.89000000000033"/>
  </r>
  <r>
    <n v="1009"/>
    <x v="103"/>
    <x v="2"/>
    <x v="6"/>
    <n v="2279.1"/>
    <n v="10"/>
    <x v="2"/>
    <n v="4364.3500000000004"/>
    <n v="4710.1000000000004"/>
    <x v="1"/>
    <n v="7.0000000000000007E-2"/>
    <x v="2"/>
    <x v="0"/>
    <x v="10"/>
    <n v="345.75"/>
  </r>
  <r>
    <n v="1074"/>
    <x v="79"/>
    <x v="3"/>
    <x v="0"/>
    <n v="3570.15"/>
    <n v="42"/>
    <x v="0"/>
    <n v="2120.81"/>
    <n v="2611.94"/>
    <x v="0"/>
    <n v="0.23"/>
    <x v="0"/>
    <x v="0"/>
    <x v="7"/>
    <n v="491.13000000000011"/>
  </r>
  <r>
    <n v="1058"/>
    <x v="295"/>
    <x v="3"/>
    <x v="1"/>
    <n v="3788.08"/>
    <n v="40"/>
    <x v="0"/>
    <n v="2249.7600000000002"/>
    <n v="2598.4"/>
    <x v="0"/>
    <n v="0.18"/>
    <x v="2"/>
    <x v="1"/>
    <x v="6"/>
    <n v="348.63999999999987"/>
  </r>
  <r>
    <n v="1017"/>
    <x v="296"/>
    <x v="4"/>
    <x v="2"/>
    <n v="780.27"/>
    <n v="33"/>
    <x v="1"/>
    <n v="1551.25"/>
    <n v="1994.01"/>
    <x v="0"/>
    <n v="0.08"/>
    <x v="0"/>
    <x v="0"/>
    <x v="18"/>
    <n v="442.76"/>
  </r>
  <r>
    <n v="1007"/>
    <x v="238"/>
    <x v="2"/>
    <x v="3"/>
    <n v="3758.78"/>
    <n v="13"/>
    <x v="2"/>
    <n v="3597.2"/>
    <n v="4071.8199999999902"/>
    <x v="0"/>
    <n v="0.28999999999999998"/>
    <x v="1"/>
    <x v="0"/>
    <x v="4"/>
    <n v="474.61999999999034"/>
  </r>
  <r>
    <n v="1046"/>
    <x v="91"/>
    <x v="2"/>
    <x v="4"/>
    <n v="4695.96"/>
    <n v="41"/>
    <x v="2"/>
    <n v="1825.37"/>
    <n v="2073.88"/>
    <x v="0"/>
    <n v="0.27"/>
    <x v="0"/>
    <x v="1"/>
    <x v="5"/>
    <n v="248.51000000000022"/>
  </r>
  <r>
    <n v="1013"/>
    <x v="297"/>
    <x v="3"/>
    <x v="5"/>
    <n v="7255.1"/>
    <n v="42"/>
    <x v="0"/>
    <n v="1375.57"/>
    <n v="1729.71"/>
    <x v="1"/>
    <n v="0.04"/>
    <x v="0"/>
    <x v="0"/>
    <x v="7"/>
    <n v="354.1400000000001"/>
  </r>
  <r>
    <n v="1040"/>
    <x v="204"/>
    <x v="1"/>
    <x v="6"/>
    <n v="6601.62"/>
    <n v="47"/>
    <x v="3"/>
    <n v="2189.54"/>
    <n v="2617"/>
    <x v="1"/>
    <n v="0.01"/>
    <x v="1"/>
    <x v="0"/>
    <x v="11"/>
    <n v="427.46000000000004"/>
  </r>
  <r>
    <n v="1042"/>
    <x v="127"/>
    <x v="4"/>
    <x v="0"/>
    <n v="7116.78"/>
    <n v="37"/>
    <x v="0"/>
    <n v="502.86"/>
    <n v="687.6"/>
    <x v="0"/>
    <n v="0.21"/>
    <x v="0"/>
    <x v="0"/>
    <x v="17"/>
    <n v="184.74"/>
  </r>
  <r>
    <n v="1009"/>
    <x v="157"/>
    <x v="3"/>
    <x v="1"/>
    <n v="182.8"/>
    <n v="16"/>
    <x v="2"/>
    <n v="3745.69"/>
    <n v="3883.77"/>
    <x v="0"/>
    <n v="0.18"/>
    <x v="1"/>
    <x v="1"/>
    <x v="8"/>
    <n v="138.07999999999993"/>
  </r>
  <r>
    <n v="1050"/>
    <x v="28"/>
    <x v="0"/>
    <x v="2"/>
    <n v="2254.91"/>
    <n v="45"/>
    <x v="0"/>
    <n v="112.35"/>
    <n v="586.17999999999995"/>
    <x v="0"/>
    <n v="0.28000000000000003"/>
    <x v="2"/>
    <x v="1"/>
    <x v="0"/>
    <n v="473.82999999999993"/>
  </r>
  <r>
    <n v="1027"/>
    <x v="222"/>
    <x v="0"/>
    <x v="3"/>
    <n v="6650.67"/>
    <n v="22"/>
    <x v="1"/>
    <n v="3240.2"/>
    <n v="3606.0899999999901"/>
    <x v="1"/>
    <n v="7.0000000000000007E-2"/>
    <x v="0"/>
    <x v="0"/>
    <x v="3"/>
    <n v="365.88999999999032"/>
  </r>
  <r>
    <n v="1066"/>
    <x v="11"/>
    <x v="4"/>
    <x v="4"/>
    <n v="4891.49"/>
    <n v="20"/>
    <x v="3"/>
    <n v="955.18"/>
    <n v="1072.82"/>
    <x v="1"/>
    <n v="0.03"/>
    <x v="1"/>
    <x v="1"/>
    <x v="9"/>
    <n v="117.63999999999999"/>
  </r>
  <r>
    <n v="1005"/>
    <x v="136"/>
    <x v="1"/>
    <x v="5"/>
    <n v="152.6"/>
    <n v="43"/>
    <x v="0"/>
    <n v="1200.4000000000001"/>
    <n v="1430.45"/>
    <x v="1"/>
    <n v="0.08"/>
    <x v="1"/>
    <x v="1"/>
    <x v="13"/>
    <n v="230.04999999999995"/>
  </r>
  <r>
    <n v="1029"/>
    <x v="277"/>
    <x v="3"/>
    <x v="6"/>
    <n v="8064.5"/>
    <n v="27"/>
    <x v="1"/>
    <n v="3196.38"/>
    <n v="3596.64"/>
    <x v="1"/>
    <n v="0.01"/>
    <x v="0"/>
    <x v="1"/>
    <x v="6"/>
    <n v="400.25999999999976"/>
  </r>
  <r>
    <n v="1037"/>
    <x v="231"/>
    <x v="2"/>
    <x v="0"/>
    <n v="7750.81"/>
    <n v="41"/>
    <x v="2"/>
    <n v="4965.07"/>
    <n v="5243.13"/>
    <x v="1"/>
    <n v="0.01"/>
    <x v="2"/>
    <x v="0"/>
    <x v="19"/>
    <n v="278.0600000000004"/>
  </r>
  <r>
    <n v="1038"/>
    <x v="32"/>
    <x v="4"/>
    <x v="1"/>
    <n v="5529.35"/>
    <n v="16"/>
    <x v="0"/>
    <n v="3899.7"/>
    <n v="4228.18"/>
    <x v="1"/>
    <n v="0.27"/>
    <x v="0"/>
    <x v="1"/>
    <x v="18"/>
    <n v="328.48000000000047"/>
  </r>
  <r>
    <n v="1083"/>
    <x v="170"/>
    <x v="1"/>
    <x v="2"/>
    <n v="757.99"/>
    <n v="34"/>
    <x v="2"/>
    <n v="1167.9100000000001"/>
    <n v="1547.26"/>
    <x v="1"/>
    <n v="0.11"/>
    <x v="1"/>
    <x v="0"/>
    <x v="16"/>
    <n v="379.34999999999991"/>
  </r>
  <r>
    <n v="1008"/>
    <x v="70"/>
    <x v="2"/>
    <x v="3"/>
    <n v="7688.5"/>
    <n v="32"/>
    <x v="1"/>
    <n v="921.32"/>
    <n v="1236.0999999999999"/>
    <x v="1"/>
    <n v="0.12"/>
    <x v="2"/>
    <x v="0"/>
    <x v="10"/>
    <n v="314.77999999999986"/>
  </r>
  <r>
    <n v="1065"/>
    <x v="11"/>
    <x v="0"/>
    <x v="4"/>
    <n v="5878.76"/>
    <n v="26"/>
    <x v="2"/>
    <n v="4337.8500000000004"/>
    <n v="4612.49"/>
    <x v="0"/>
    <n v="0.01"/>
    <x v="0"/>
    <x v="1"/>
    <x v="1"/>
    <n v="274.63999999999942"/>
  </r>
  <r>
    <n v="1086"/>
    <x v="298"/>
    <x v="0"/>
    <x v="5"/>
    <n v="7841.4"/>
    <n v="25"/>
    <x v="1"/>
    <n v="2248.71"/>
    <n v="2626.02"/>
    <x v="1"/>
    <n v="0.08"/>
    <x v="1"/>
    <x v="0"/>
    <x v="1"/>
    <n v="377.30999999999995"/>
  </r>
  <r>
    <n v="1017"/>
    <x v="61"/>
    <x v="2"/>
    <x v="6"/>
    <n v="7542.3"/>
    <n v="2"/>
    <x v="1"/>
    <n v="728.41"/>
    <n v="1094.92"/>
    <x v="1"/>
    <n v="0.24"/>
    <x v="0"/>
    <x v="1"/>
    <x v="5"/>
    <n v="366.5100000000001"/>
  </r>
  <r>
    <n v="1071"/>
    <x v="90"/>
    <x v="4"/>
    <x v="0"/>
    <n v="8049.72"/>
    <n v="12"/>
    <x v="1"/>
    <n v="4317.95"/>
    <n v="4636.59"/>
    <x v="1"/>
    <n v="0.18"/>
    <x v="2"/>
    <x v="1"/>
    <x v="17"/>
    <n v="318.64000000000033"/>
  </r>
  <r>
    <n v="1089"/>
    <x v="175"/>
    <x v="0"/>
    <x v="1"/>
    <n v="5228.28"/>
    <n v="40"/>
    <x v="0"/>
    <n v="4089.66"/>
    <n v="4275.96"/>
    <x v="1"/>
    <n v="0.23"/>
    <x v="2"/>
    <x v="0"/>
    <x v="1"/>
    <n v="186.30000000000018"/>
  </r>
  <r>
    <n v="1045"/>
    <x v="273"/>
    <x v="3"/>
    <x v="2"/>
    <n v="1489.21"/>
    <n v="9"/>
    <x v="2"/>
    <n v="4920.34"/>
    <n v="5129.1899999999996"/>
    <x v="0"/>
    <n v="0.13"/>
    <x v="2"/>
    <x v="0"/>
    <x v="6"/>
    <n v="208.84999999999945"/>
  </r>
  <r>
    <n v="1004"/>
    <x v="59"/>
    <x v="2"/>
    <x v="3"/>
    <n v="6744.46"/>
    <n v="12"/>
    <x v="2"/>
    <n v="4553.2299999999996"/>
    <n v="5038.74"/>
    <x v="1"/>
    <n v="0.09"/>
    <x v="2"/>
    <x v="1"/>
    <x v="4"/>
    <n v="485.51000000000022"/>
  </r>
  <r>
    <n v="1036"/>
    <x v="299"/>
    <x v="2"/>
    <x v="4"/>
    <n v="6242.69"/>
    <n v="26"/>
    <x v="3"/>
    <n v="4266.3599999999997"/>
    <n v="4331.4299999999903"/>
    <x v="0"/>
    <n v="0.14000000000000001"/>
    <x v="2"/>
    <x v="1"/>
    <x v="4"/>
    <n v="65.069999999990614"/>
  </r>
  <r>
    <n v="1070"/>
    <x v="94"/>
    <x v="0"/>
    <x v="5"/>
    <n v="7448.31"/>
    <n v="9"/>
    <x v="3"/>
    <n v="310.24"/>
    <n v="451.81"/>
    <x v="0"/>
    <n v="0.1"/>
    <x v="0"/>
    <x v="1"/>
    <x v="3"/>
    <n v="141.57"/>
  </r>
  <r>
    <n v="1031"/>
    <x v="273"/>
    <x v="4"/>
    <x v="6"/>
    <n v="1781.82"/>
    <n v="10"/>
    <x v="3"/>
    <n v="566.86"/>
    <n v="818.14"/>
    <x v="0"/>
    <n v="0.25"/>
    <x v="2"/>
    <x v="1"/>
    <x v="17"/>
    <n v="251.27999999999997"/>
  </r>
  <r>
    <n v="1019"/>
    <x v="300"/>
    <x v="3"/>
    <x v="0"/>
    <n v="2030.25"/>
    <n v="32"/>
    <x v="3"/>
    <n v="2866.47"/>
    <n v="3286.47"/>
    <x v="1"/>
    <n v="0.09"/>
    <x v="2"/>
    <x v="0"/>
    <x v="6"/>
    <n v="420"/>
  </r>
  <r>
    <n v="1061"/>
    <x v="228"/>
    <x v="4"/>
    <x v="1"/>
    <n v="8915.0499999999993"/>
    <n v="34"/>
    <x v="2"/>
    <n v="2680.82"/>
    <n v="2771.02"/>
    <x v="1"/>
    <n v="0.2"/>
    <x v="1"/>
    <x v="0"/>
    <x v="18"/>
    <n v="90.199999999999818"/>
  </r>
  <r>
    <n v="1054"/>
    <x v="194"/>
    <x v="1"/>
    <x v="2"/>
    <n v="7524.78"/>
    <n v="48"/>
    <x v="1"/>
    <n v="2316.92"/>
    <n v="2462.63"/>
    <x v="1"/>
    <n v="0.04"/>
    <x v="2"/>
    <x v="0"/>
    <x v="11"/>
    <n v="145.71000000000004"/>
  </r>
  <r>
    <n v="1039"/>
    <x v="32"/>
    <x v="1"/>
    <x v="3"/>
    <n v="9091.4599999999991"/>
    <n v="20"/>
    <x v="1"/>
    <n v="2014.11"/>
    <n v="2056.35"/>
    <x v="0"/>
    <n v="0.21"/>
    <x v="1"/>
    <x v="1"/>
    <x v="2"/>
    <n v="42.240000000000009"/>
  </r>
  <r>
    <n v="1091"/>
    <x v="275"/>
    <x v="0"/>
    <x v="4"/>
    <n v="7611.28"/>
    <n v="39"/>
    <x v="0"/>
    <n v="2184.4899999999998"/>
    <n v="2540.4199999999901"/>
    <x v="0"/>
    <n v="0.27"/>
    <x v="1"/>
    <x v="0"/>
    <x v="1"/>
    <n v="355.92999999999029"/>
  </r>
  <r>
    <n v="1074"/>
    <x v="185"/>
    <x v="0"/>
    <x v="5"/>
    <n v="6011.84"/>
    <n v="2"/>
    <x v="1"/>
    <n v="2868.02"/>
    <n v="2994.74"/>
    <x v="0"/>
    <n v="0.18"/>
    <x v="1"/>
    <x v="0"/>
    <x v="12"/>
    <n v="126.7199999999998"/>
  </r>
  <r>
    <n v="1090"/>
    <x v="24"/>
    <x v="0"/>
    <x v="6"/>
    <n v="6575.91"/>
    <n v="1"/>
    <x v="2"/>
    <n v="60.28"/>
    <n v="260.73"/>
    <x v="0"/>
    <n v="0.17"/>
    <x v="0"/>
    <x v="0"/>
    <x v="12"/>
    <n v="200.45000000000002"/>
  </r>
  <r>
    <n v="1019"/>
    <x v="89"/>
    <x v="1"/>
    <x v="0"/>
    <n v="8902.3700000000008"/>
    <n v="36"/>
    <x v="2"/>
    <n v="1340.51"/>
    <n v="1567.92"/>
    <x v="1"/>
    <n v="0.28999999999999998"/>
    <x v="0"/>
    <x v="0"/>
    <x v="16"/>
    <n v="227.41000000000008"/>
  </r>
  <r>
    <n v="1039"/>
    <x v="137"/>
    <x v="4"/>
    <x v="1"/>
    <n v="5830.19"/>
    <n v="24"/>
    <x v="2"/>
    <n v="2615.48"/>
    <n v="3062.22"/>
    <x v="1"/>
    <n v="0.19"/>
    <x v="1"/>
    <x v="1"/>
    <x v="18"/>
    <n v="446.73999999999978"/>
  </r>
  <r>
    <n v="1067"/>
    <x v="301"/>
    <x v="4"/>
    <x v="2"/>
    <n v="6360.67"/>
    <n v="27"/>
    <x v="0"/>
    <n v="3624.97"/>
    <n v="3836.52"/>
    <x v="1"/>
    <n v="0.08"/>
    <x v="0"/>
    <x v="0"/>
    <x v="17"/>
    <n v="211.55000000000018"/>
  </r>
  <r>
    <n v="1045"/>
    <x v="204"/>
    <x v="0"/>
    <x v="3"/>
    <n v="1649.12"/>
    <n v="2"/>
    <x v="3"/>
    <n v="912.08"/>
    <n v="993.24"/>
    <x v="0"/>
    <n v="0.09"/>
    <x v="2"/>
    <x v="0"/>
    <x v="0"/>
    <n v="81.159999999999968"/>
  </r>
  <r>
    <n v="1013"/>
    <x v="302"/>
    <x v="3"/>
    <x v="4"/>
    <n v="4791.82"/>
    <n v="31"/>
    <x v="1"/>
    <n v="2757.06"/>
    <n v="3023.97"/>
    <x v="0"/>
    <n v="0.21"/>
    <x v="0"/>
    <x v="0"/>
    <x v="14"/>
    <n v="266.90999999999985"/>
  </r>
  <r>
    <n v="1092"/>
    <x v="32"/>
    <x v="4"/>
    <x v="5"/>
    <n v="7192.33"/>
    <n v="14"/>
    <x v="2"/>
    <n v="3586.58"/>
    <n v="4068.43"/>
    <x v="1"/>
    <n v="0.22"/>
    <x v="2"/>
    <x v="0"/>
    <x v="9"/>
    <n v="481.84999999999991"/>
  </r>
  <r>
    <n v="1058"/>
    <x v="266"/>
    <x v="1"/>
    <x v="6"/>
    <n v="2782.33"/>
    <n v="2"/>
    <x v="2"/>
    <n v="2250.91"/>
    <n v="2558.6799999999998"/>
    <x v="1"/>
    <n v="0.09"/>
    <x v="2"/>
    <x v="1"/>
    <x v="11"/>
    <n v="307.77"/>
  </r>
  <r>
    <n v="1020"/>
    <x v="32"/>
    <x v="2"/>
    <x v="0"/>
    <n v="2102.3200000000002"/>
    <n v="29"/>
    <x v="3"/>
    <n v="184.05"/>
    <n v="675.91"/>
    <x v="0"/>
    <n v="0.1"/>
    <x v="0"/>
    <x v="1"/>
    <x v="4"/>
    <n v="491.85999999999996"/>
  </r>
  <r>
    <n v="1092"/>
    <x v="171"/>
    <x v="2"/>
    <x v="1"/>
    <n v="3206.89"/>
    <n v="15"/>
    <x v="2"/>
    <n v="2273.88"/>
    <n v="2696.02"/>
    <x v="1"/>
    <n v="0.3"/>
    <x v="0"/>
    <x v="0"/>
    <x v="19"/>
    <n v="422.13999999999987"/>
  </r>
  <r>
    <n v="1072"/>
    <x v="104"/>
    <x v="2"/>
    <x v="2"/>
    <n v="2490.86"/>
    <n v="12"/>
    <x v="1"/>
    <n v="1517.4"/>
    <n v="1545.02"/>
    <x v="1"/>
    <n v="0.03"/>
    <x v="1"/>
    <x v="1"/>
    <x v="10"/>
    <n v="27.619999999999891"/>
  </r>
  <r>
    <n v="1061"/>
    <x v="15"/>
    <x v="3"/>
    <x v="3"/>
    <n v="2227.64"/>
    <n v="37"/>
    <x v="0"/>
    <n v="4651.7700000000004"/>
    <n v="4984.3900000000003"/>
    <x v="0"/>
    <n v="0.12"/>
    <x v="0"/>
    <x v="1"/>
    <x v="14"/>
    <n v="332.61999999999989"/>
  </r>
  <r>
    <n v="1039"/>
    <x v="291"/>
    <x v="0"/>
    <x v="4"/>
    <n v="4306.0200000000004"/>
    <n v="28"/>
    <x v="2"/>
    <n v="666.84"/>
    <n v="817.36"/>
    <x v="0"/>
    <n v="0.02"/>
    <x v="0"/>
    <x v="1"/>
    <x v="3"/>
    <n v="150.51999999999998"/>
  </r>
  <r>
    <n v="1001"/>
    <x v="133"/>
    <x v="1"/>
    <x v="5"/>
    <n v="9087.6"/>
    <n v="20"/>
    <x v="1"/>
    <n v="3279.76"/>
    <n v="3563.97"/>
    <x v="0"/>
    <n v="0.25"/>
    <x v="0"/>
    <x v="1"/>
    <x v="13"/>
    <n v="284.20999999999958"/>
  </r>
  <r>
    <n v="1003"/>
    <x v="216"/>
    <x v="3"/>
    <x v="6"/>
    <n v="5119.8900000000003"/>
    <n v="39"/>
    <x v="2"/>
    <n v="310.95999999999998"/>
    <n v="457.84"/>
    <x v="1"/>
    <n v="0.03"/>
    <x v="2"/>
    <x v="0"/>
    <x v="14"/>
    <n v="146.88"/>
  </r>
  <r>
    <n v="1077"/>
    <x v="303"/>
    <x v="1"/>
    <x v="0"/>
    <n v="1960.41"/>
    <n v="24"/>
    <x v="3"/>
    <n v="2258.54"/>
    <n v="2439.4899999999998"/>
    <x v="0"/>
    <n v="0.2"/>
    <x v="2"/>
    <x v="1"/>
    <x v="16"/>
    <n v="180.94999999999982"/>
  </r>
  <r>
    <n v="1092"/>
    <x v="74"/>
    <x v="1"/>
    <x v="1"/>
    <n v="862.02"/>
    <n v="21"/>
    <x v="2"/>
    <n v="2792.2"/>
    <n v="3254.5499999999902"/>
    <x v="1"/>
    <n v="0.02"/>
    <x v="2"/>
    <x v="1"/>
    <x v="16"/>
    <n v="462.34999999999036"/>
  </r>
  <r>
    <n v="1062"/>
    <x v="154"/>
    <x v="0"/>
    <x v="2"/>
    <n v="6991.95"/>
    <n v="10"/>
    <x v="2"/>
    <n v="1524.88"/>
    <n v="1636.14"/>
    <x v="1"/>
    <n v="0.2"/>
    <x v="1"/>
    <x v="0"/>
    <x v="12"/>
    <n v="111.25999999999999"/>
  </r>
  <r>
    <n v="1063"/>
    <x v="111"/>
    <x v="2"/>
    <x v="3"/>
    <n v="3889.71"/>
    <n v="46"/>
    <x v="0"/>
    <n v="2302.62"/>
    <n v="2740.93"/>
    <x v="0"/>
    <n v="0.25"/>
    <x v="1"/>
    <x v="0"/>
    <x v="5"/>
    <n v="438.30999999999995"/>
  </r>
  <r>
    <n v="1025"/>
    <x v="229"/>
    <x v="0"/>
    <x v="4"/>
    <n v="8236.1299999999992"/>
    <n v="14"/>
    <x v="3"/>
    <n v="859.59"/>
    <n v="884.51"/>
    <x v="1"/>
    <n v="0.12"/>
    <x v="1"/>
    <x v="0"/>
    <x v="12"/>
    <n v="24.919999999999959"/>
  </r>
  <r>
    <n v="1056"/>
    <x v="229"/>
    <x v="3"/>
    <x v="5"/>
    <n v="6629.16"/>
    <n v="37"/>
    <x v="3"/>
    <n v="1555.41"/>
    <n v="1609.94"/>
    <x v="0"/>
    <n v="0.16"/>
    <x v="2"/>
    <x v="0"/>
    <x v="7"/>
    <n v="54.529999999999973"/>
  </r>
  <r>
    <n v="1033"/>
    <x v="304"/>
    <x v="3"/>
    <x v="6"/>
    <n v="7982.79"/>
    <n v="18"/>
    <x v="0"/>
    <n v="3124.48"/>
    <n v="3553.27"/>
    <x v="0"/>
    <n v="0.12"/>
    <x v="0"/>
    <x v="1"/>
    <x v="14"/>
    <n v="428.78999999999996"/>
  </r>
  <r>
    <n v="1038"/>
    <x v="305"/>
    <x v="3"/>
    <x v="0"/>
    <n v="2792.27"/>
    <n v="24"/>
    <x v="2"/>
    <n v="1543.91"/>
    <n v="1862.88"/>
    <x v="1"/>
    <n v="0.09"/>
    <x v="1"/>
    <x v="0"/>
    <x v="8"/>
    <n v="318.97000000000003"/>
  </r>
  <r>
    <n v="1006"/>
    <x v="278"/>
    <x v="0"/>
    <x v="1"/>
    <n v="6954.35"/>
    <n v="14"/>
    <x v="1"/>
    <n v="4503.7299999999996"/>
    <n v="4879.8799999999901"/>
    <x v="1"/>
    <n v="0.24"/>
    <x v="1"/>
    <x v="1"/>
    <x v="12"/>
    <n v="376.14999999999054"/>
  </r>
  <r>
    <n v="1058"/>
    <x v="147"/>
    <x v="1"/>
    <x v="2"/>
    <n v="2714.21"/>
    <n v="34"/>
    <x v="3"/>
    <n v="3160.61"/>
    <n v="3273.22"/>
    <x v="0"/>
    <n v="0.08"/>
    <x v="2"/>
    <x v="1"/>
    <x v="11"/>
    <n v="112.60999999999967"/>
  </r>
  <r>
    <n v="1044"/>
    <x v="306"/>
    <x v="1"/>
    <x v="3"/>
    <n v="9396.7800000000007"/>
    <n v="12"/>
    <x v="3"/>
    <n v="2221.31"/>
    <n v="2494.48"/>
    <x v="0"/>
    <n v="0.22"/>
    <x v="1"/>
    <x v="0"/>
    <x v="13"/>
    <n v="273.17000000000007"/>
  </r>
  <r>
    <n v="1045"/>
    <x v="307"/>
    <x v="4"/>
    <x v="4"/>
    <n v="6400.11"/>
    <n v="22"/>
    <x v="2"/>
    <n v="241.85"/>
    <n v="613.09"/>
    <x v="0"/>
    <n v="0.06"/>
    <x v="0"/>
    <x v="0"/>
    <x v="17"/>
    <n v="371.24"/>
  </r>
  <r>
    <n v="1032"/>
    <x v="253"/>
    <x v="3"/>
    <x v="5"/>
    <n v="3312.67"/>
    <n v="6"/>
    <x v="2"/>
    <n v="2522.7600000000002"/>
    <n v="2840.14"/>
    <x v="0"/>
    <n v="7.0000000000000007E-2"/>
    <x v="2"/>
    <x v="1"/>
    <x v="7"/>
    <n v="317.37999999999965"/>
  </r>
  <r>
    <n v="1045"/>
    <x v="277"/>
    <x v="1"/>
    <x v="6"/>
    <n v="2768.17"/>
    <n v="36"/>
    <x v="3"/>
    <n v="3835.64"/>
    <n v="4076.77"/>
    <x v="0"/>
    <n v="0.1"/>
    <x v="2"/>
    <x v="1"/>
    <x v="11"/>
    <n v="241.13000000000011"/>
  </r>
  <r>
    <n v="1061"/>
    <x v="64"/>
    <x v="4"/>
    <x v="0"/>
    <n v="1990.17"/>
    <n v="45"/>
    <x v="2"/>
    <n v="1364.51"/>
    <n v="1844.8"/>
    <x v="0"/>
    <n v="0.18"/>
    <x v="0"/>
    <x v="0"/>
    <x v="15"/>
    <n v="480.28999999999996"/>
  </r>
  <r>
    <n v="1047"/>
    <x v="308"/>
    <x v="1"/>
    <x v="1"/>
    <n v="6976.95"/>
    <n v="36"/>
    <x v="1"/>
    <n v="4043.53"/>
    <n v="4384.8500000000004"/>
    <x v="1"/>
    <n v="0.14000000000000001"/>
    <x v="0"/>
    <x v="0"/>
    <x v="11"/>
    <n v="341.32000000000016"/>
  </r>
  <r>
    <n v="1021"/>
    <x v="309"/>
    <x v="3"/>
    <x v="2"/>
    <n v="2265.2800000000002"/>
    <n v="22"/>
    <x v="3"/>
    <n v="1296.44"/>
    <n v="1751.24"/>
    <x v="1"/>
    <n v="0.22"/>
    <x v="0"/>
    <x v="0"/>
    <x v="7"/>
    <n v="454.79999999999995"/>
  </r>
  <r>
    <n v="1080"/>
    <x v="217"/>
    <x v="2"/>
    <x v="3"/>
    <n v="5993.5"/>
    <n v="14"/>
    <x v="1"/>
    <n v="4127.54"/>
    <n v="4495.13"/>
    <x v="1"/>
    <n v="0.06"/>
    <x v="1"/>
    <x v="1"/>
    <x v="5"/>
    <n v="367.59000000000015"/>
  </r>
  <r>
    <n v="1085"/>
    <x v="212"/>
    <x v="3"/>
    <x v="4"/>
    <n v="2719.89"/>
    <n v="16"/>
    <x v="1"/>
    <n v="472.08"/>
    <n v="842.46"/>
    <x v="1"/>
    <n v="0"/>
    <x v="0"/>
    <x v="1"/>
    <x v="8"/>
    <n v="370.38000000000005"/>
  </r>
  <r>
    <n v="1075"/>
    <x v="48"/>
    <x v="0"/>
    <x v="5"/>
    <n v="6653.49"/>
    <n v="36"/>
    <x v="2"/>
    <n v="4337.6099999999997"/>
    <n v="4386.82"/>
    <x v="0"/>
    <n v="0.23"/>
    <x v="2"/>
    <x v="0"/>
    <x v="12"/>
    <n v="49.210000000000036"/>
  </r>
  <r>
    <n v="1036"/>
    <x v="236"/>
    <x v="1"/>
    <x v="6"/>
    <n v="8167.9"/>
    <n v="25"/>
    <x v="1"/>
    <n v="2520.9699999999998"/>
    <n v="2707.1099999999901"/>
    <x v="1"/>
    <n v="0.25"/>
    <x v="0"/>
    <x v="1"/>
    <x v="16"/>
    <n v="186.13999999999032"/>
  </r>
  <r>
    <n v="1099"/>
    <x v="306"/>
    <x v="1"/>
    <x v="0"/>
    <n v="7802.45"/>
    <n v="32"/>
    <x v="2"/>
    <n v="1517.86"/>
    <n v="1948.46"/>
    <x v="1"/>
    <n v="0.02"/>
    <x v="2"/>
    <x v="0"/>
    <x v="2"/>
    <n v="430.60000000000014"/>
  </r>
  <r>
    <n v="1019"/>
    <x v="310"/>
    <x v="0"/>
    <x v="1"/>
    <n v="7632.43"/>
    <n v="33"/>
    <x v="0"/>
    <n v="1362.31"/>
    <n v="1486.29"/>
    <x v="0"/>
    <n v="0.18"/>
    <x v="2"/>
    <x v="1"/>
    <x v="12"/>
    <n v="123.98000000000002"/>
  </r>
  <r>
    <n v="1020"/>
    <x v="207"/>
    <x v="0"/>
    <x v="2"/>
    <n v="1958.45"/>
    <n v="45"/>
    <x v="2"/>
    <n v="2188.4499999999998"/>
    <n v="2255.0499999999902"/>
    <x v="1"/>
    <n v="0.11"/>
    <x v="1"/>
    <x v="1"/>
    <x v="12"/>
    <n v="66.599999999990359"/>
  </r>
  <r>
    <n v="1057"/>
    <x v="31"/>
    <x v="2"/>
    <x v="3"/>
    <n v="975.01"/>
    <n v="36"/>
    <x v="1"/>
    <n v="4995.3"/>
    <n v="5165.09"/>
    <x v="0"/>
    <n v="0.24"/>
    <x v="0"/>
    <x v="0"/>
    <x v="19"/>
    <n v="169.78999999999996"/>
  </r>
  <r>
    <n v="1018"/>
    <x v="112"/>
    <x v="1"/>
    <x v="4"/>
    <n v="7019.59"/>
    <n v="20"/>
    <x v="0"/>
    <n v="1140.6199999999999"/>
    <n v="1258.6299999999901"/>
    <x v="0"/>
    <n v="0.26"/>
    <x v="1"/>
    <x v="0"/>
    <x v="11"/>
    <n v="118.00999999999021"/>
  </r>
  <r>
    <n v="1047"/>
    <x v="294"/>
    <x v="1"/>
    <x v="5"/>
    <n v="3746.64"/>
    <n v="18"/>
    <x v="2"/>
    <n v="560.91999999999996"/>
    <n v="1024.31"/>
    <x v="0"/>
    <n v="0.26"/>
    <x v="0"/>
    <x v="0"/>
    <x v="16"/>
    <n v="463.39"/>
  </r>
  <r>
    <n v="1049"/>
    <x v="147"/>
    <x v="2"/>
    <x v="6"/>
    <n v="4380.2299999999996"/>
    <n v="38"/>
    <x v="1"/>
    <n v="2945.92"/>
    <n v="3381.22"/>
    <x v="0"/>
    <n v="0.23"/>
    <x v="0"/>
    <x v="1"/>
    <x v="10"/>
    <n v="435.29999999999973"/>
  </r>
  <r>
    <n v="1014"/>
    <x v="189"/>
    <x v="4"/>
    <x v="0"/>
    <n v="408.38"/>
    <n v="3"/>
    <x v="3"/>
    <n v="2468.29"/>
    <n v="2723.13"/>
    <x v="0"/>
    <n v="0.08"/>
    <x v="0"/>
    <x v="1"/>
    <x v="15"/>
    <n v="254.84000000000015"/>
  </r>
  <r>
    <n v="1015"/>
    <x v="118"/>
    <x v="2"/>
    <x v="1"/>
    <n v="2669.81"/>
    <n v="23"/>
    <x v="3"/>
    <n v="2644.77"/>
    <n v="2684.83"/>
    <x v="1"/>
    <n v="0.24"/>
    <x v="0"/>
    <x v="0"/>
    <x v="4"/>
    <n v="40.059999999999945"/>
  </r>
  <r>
    <n v="1031"/>
    <x v="218"/>
    <x v="3"/>
    <x v="2"/>
    <n v="433.4"/>
    <n v="32"/>
    <x v="2"/>
    <n v="3351.33"/>
    <n v="3711.47"/>
    <x v="1"/>
    <n v="0.16"/>
    <x v="0"/>
    <x v="1"/>
    <x v="14"/>
    <n v="360.13999999999987"/>
  </r>
  <r>
    <n v="1001"/>
    <x v="64"/>
    <x v="1"/>
    <x v="3"/>
    <n v="8803.94"/>
    <n v="45"/>
    <x v="2"/>
    <n v="1372.36"/>
    <n v="1687.83"/>
    <x v="1"/>
    <n v="0.02"/>
    <x v="2"/>
    <x v="0"/>
    <x v="13"/>
    <n v="315.47000000000003"/>
  </r>
  <r>
    <n v="1054"/>
    <x v="311"/>
    <x v="0"/>
    <x v="4"/>
    <n v="2509.63"/>
    <n v="16"/>
    <x v="3"/>
    <n v="4557.79"/>
    <n v="5043.3599999999997"/>
    <x v="0"/>
    <n v="0.14000000000000001"/>
    <x v="2"/>
    <x v="1"/>
    <x v="3"/>
    <n v="485.56999999999971"/>
  </r>
  <r>
    <n v="1003"/>
    <x v="312"/>
    <x v="3"/>
    <x v="5"/>
    <n v="5617.64"/>
    <n v="5"/>
    <x v="1"/>
    <n v="2206.58"/>
    <n v="2490.4699999999998"/>
    <x v="1"/>
    <n v="0.28000000000000003"/>
    <x v="0"/>
    <x v="0"/>
    <x v="8"/>
    <n v="283.88999999999987"/>
  </r>
  <r>
    <n v="1016"/>
    <x v="313"/>
    <x v="1"/>
    <x v="6"/>
    <n v="485.9"/>
    <n v="4"/>
    <x v="1"/>
    <n v="688.98"/>
    <n v="863.81"/>
    <x v="1"/>
    <n v="0.27"/>
    <x v="2"/>
    <x v="1"/>
    <x v="2"/>
    <n v="174.82999999999993"/>
  </r>
  <r>
    <n v="1087"/>
    <x v="267"/>
    <x v="2"/>
    <x v="0"/>
    <n v="6701.79"/>
    <n v="21"/>
    <x v="1"/>
    <n v="3724.38"/>
    <n v="3988.7"/>
    <x v="1"/>
    <n v="0.03"/>
    <x v="1"/>
    <x v="1"/>
    <x v="19"/>
    <n v="264.31999999999971"/>
  </r>
  <r>
    <n v="1057"/>
    <x v="105"/>
    <x v="3"/>
    <x v="1"/>
    <n v="3297.97"/>
    <n v="40"/>
    <x v="2"/>
    <n v="3233.37"/>
    <n v="3723.21"/>
    <x v="1"/>
    <n v="0.22"/>
    <x v="1"/>
    <x v="1"/>
    <x v="6"/>
    <n v="489.84000000000015"/>
  </r>
  <r>
    <n v="1075"/>
    <x v="185"/>
    <x v="1"/>
    <x v="2"/>
    <n v="8989.4"/>
    <n v="14"/>
    <x v="0"/>
    <n v="1612.93"/>
    <n v="1964.15"/>
    <x v="0"/>
    <n v="0.24"/>
    <x v="1"/>
    <x v="1"/>
    <x v="16"/>
    <n v="351.22"/>
  </r>
  <r>
    <n v="1012"/>
    <x v="73"/>
    <x v="4"/>
    <x v="3"/>
    <n v="8892.3700000000008"/>
    <n v="39"/>
    <x v="0"/>
    <n v="3126.52"/>
    <n v="3465.79"/>
    <x v="1"/>
    <n v="0.08"/>
    <x v="0"/>
    <x v="0"/>
    <x v="18"/>
    <n v="339.27"/>
  </r>
  <r>
    <n v="1074"/>
    <x v="248"/>
    <x v="4"/>
    <x v="4"/>
    <n v="3320.38"/>
    <n v="31"/>
    <x v="0"/>
    <n v="1138.32"/>
    <n v="1266.25"/>
    <x v="0"/>
    <n v="0.14000000000000001"/>
    <x v="0"/>
    <x v="1"/>
    <x v="9"/>
    <n v="127.93000000000006"/>
  </r>
  <r>
    <n v="1096"/>
    <x v="309"/>
    <x v="0"/>
    <x v="5"/>
    <n v="9019.51"/>
    <n v="14"/>
    <x v="0"/>
    <n v="2251.9499999999998"/>
    <n v="2626.3199999999902"/>
    <x v="0"/>
    <n v="0.21"/>
    <x v="2"/>
    <x v="0"/>
    <x v="3"/>
    <n v="374.36999999999034"/>
  </r>
  <r>
    <n v="1016"/>
    <x v="55"/>
    <x v="1"/>
    <x v="6"/>
    <n v="9961.9599999999991"/>
    <n v="6"/>
    <x v="0"/>
    <n v="4502.09"/>
    <n v="4879.72"/>
    <x v="1"/>
    <n v="0.13"/>
    <x v="2"/>
    <x v="0"/>
    <x v="2"/>
    <n v="377.63000000000011"/>
  </r>
  <r>
    <n v="1072"/>
    <x v="314"/>
    <x v="4"/>
    <x v="0"/>
    <n v="8271.6200000000008"/>
    <n v="12"/>
    <x v="2"/>
    <n v="710.99"/>
    <n v="876.46"/>
    <x v="0"/>
    <n v="0.03"/>
    <x v="2"/>
    <x v="0"/>
    <x v="17"/>
    <n v="165.47000000000003"/>
  </r>
  <r>
    <n v="1076"/>
    <x v="172"/>
    <x v="2"/>
    <x v="1"/>
    <n v="8464.23"/>
    <n v="16"/>
    <x v="2"/>
    <n v="1964.15"/>
    <n v="2211.17"/>
    <x v="0"/>
    <n v="0.21"/>
    <x v="1"/>
    <x v="0"/>
    <x v="10"/>
    <n v="247.01999999999998"/>
  </r>
  <r>
    <n v="1024"/>
    <x v="143"/>
    <x v="1"/>
    <x v="2"/>
    <n v="2565.19"/>
    <n v="17"/>
    <x v="0"/>
    <n v="4114.66"/>
    <n v="4269.0199999999904"/>
    <x v="0"/>
    <n v="0.27"/>
    <x v="1"/>
    <x v="1"/>
    <x v="11"/>
    <n v="154.35999999999058"/>
  </r>
  <r>
    <n v="1028"/>
    <x v="34"/>
    <x v="2"/>
    <x v="3"/>
    <n v="5809.35"/>
    <n v="45"/>
    <x v="2"/>
    <n v="4848.9799999999996"/>
    <n v="4985.75"/>
    <x v="0"/>
    <n v="0.2"/>
    <x v="1"/>
    <x v="0"/>
    <x v="5"/>
    <n v="136.77000000000044"/>
  </r>
  <r>
    <n v="1008"/>
    <x v="266"/>
    <x v="2"/>
    <x v="4"/>
    <n v="765.83"/>
    <n v="23"/>
    <x v="2"/>
    <n v="2296.9299999999998"/>
    <n v="2319.62"/>
    <x v="0"/>
    <n v="0.23"/>
    <x v="1"/>
    <x v="1"/>
    <x v="5"/>
    <n v="22.690000000000055"/>
  </r>
  <r>
    <n v="1092"/>
    <x v="217"/>
    <x v="4"/>
    <x v="5"/>
    <n v="1039.69"/>
    <n v="14"/>
    <x v="0"/>
    <n v="2559.65"/>
    <n v="2709.4"/>
    <x v="0"/>
    <n v="0.11"/>
    <x v="2"/>
    <x v="1"/>
    <x v="9"/>
    <n v="149.75"/>
  </r>
  <r>
    <n v="1036"/>
    <x v="176"/>
    <x v="1"/>
    <x v="6"/>
    <n v="9989.0400000000009"/>
    <n v="7"/>
    <x v="1"/>
    <n v="2882.25"/>
    <n v="3163.7"/>
    <x v="0"/>
    <n v="0.05"/>
    <x v="0"/>
    <x v="1"/>
    <x v="11"/>
    <n v="281.44999999999982"/>
  </r>
  <r>
    <n v="1090"/>
    <x v="13"/>
    <x v="3"/>
    <x v="0"/>
    <n v="3333.73"/>
    <n v="46"/>
    <x v="2"/>
    <n v="4665.12"/>
    <n v="4675.8999999999996"/>
    <x v="1"/>
    <n v="0.19"/>
    <x v="0"/>
    <x v="1"/>
    <x v="8"/>
    <n v="10.779999999999745"/>
  </r>
  <r>
    <n v="1008"/>
    <x v="315"/>
    <x v="4"/>
    <x v="1"/>
    <n v="7507.02"/>
    <n v="32"/>
    <x v="1"/>
    <n v="4298.12"/>
    <n v="4446.8999999999996"/>
    <x v="1"/>
    <n v="0.1"/>
    <x v="1"/>
    <x v="0"/>
    <x v="18"/>
    <n v="148.77999999999975"/>
  </r>
  <r>
    <n v="1058"/>
    <x v="49"/>
    <x v="4"/>
    <x v="2"/>
    <n v="8085.98"/>
    <n v="15"/>
    <x v="2"/>
    <n v="894.48"/>
    <n v="1336.37"/>
    <x v="0"/>
    <n v="0.26"/>
    <x v="0"/>
    <x v="1"/>
    <x v="17"/>
    <n v="441.88999999999987"/>
  </r>
  <r>
    <n v="1060"/>
    <x v="316"/>
    <x v="1"/>
    <x v="3"/>
    <n v="8594.43"/>
    <n v="44"/>
    <x v="2"/>
    <n v="2211.9499999999998"/>
    <n v="2512.8399999999901"/>
    <x v="0"/>
    <n v="0.04"/>
    <x v="0"/>
    <x v="0"/>
    <x v="2"/>
    <n v="300.88999999999032"/>
  </r>
  <r>
    <n v="1050"/>
    <x v="314"/>
    <x v="1"/>
    <x v="4"/>
    <n v="9976.52"/>
    <n v="17"/>
    <x v="0"/>
    <n v="2346.8000000000002"/>
    <n v="2654.65"/>
    <x v="1"/>
    <n v="0.13"/>
    <x v="0"/>
    <x v="1"/>
    <x v="11"/>
    <n v="307.84999999999991"/>
  </r>
  <r>
    <n v="1028"/>
    <x v="185"/>
    <x v="2"/>
    <x v="5"/>
    <n v="2490.8200000000002"/>
    <n v="41"/>
    <x v="2"/>
    <n v="3956.03"/>
    <n v="4163.68"/>
    <x v="1"/>
    <n v="0.12"/>
    <x v="1"/>
    <x v="1"/>
    <x v="10"/>
    <n v="207.65000000000009"/>
  </r>
  <r>
    <n v="1092"/>
    <x v="78"/>
    <x v="1"/>
    <x v="6"/>
    <n v="499.47"/>
    <n v="47"/>
    <x v="3"/>
    <n v="3034.32"/>
    <n v="3375.79"/>
    <x v="1"/>
    <n v="0.28000000000000003"/>
    <x v="2"/>
    <x v="0"/>
    <x v="16"/>
    <n v="341.4699999999998"/>
  </r>
  <r>
    <n v="1041"/>
    <x v="88"/>
    <x v="2"/>
    <x v="0"/>
    <n v="4170.8"/>
    <n v="44"/>
    <x v="3"/>
    <n v="3288.39"/>
    <n v="3391.46"/>
    <x v="1"/>
    <n v="0.05"/>
    <x v="2"/>
    <x v="1"/>
    <x v="4"/>
    <n v="103.07000000000016"/>
  </r>
  <r>
    <n v="1100"/>
    <x v="38"/>
    <x v="4"/>
    <x v="1"/>
    <n v="1387.8"/>
    <n v="34"/>
    <x v="0"/>
    <n v="4991.09"/>
    <n v="5402.28"/>
    <x v="0"/>
    <n v="0"/>
    <x v="0"/>
    <x v="1"/>
    <x v="18"/>
    <n v="411.1899999999996"/>
  </r>
  <r>
    <n v="1064"/>
    <x v="195"/>
    <x v="0"/>
    <x v="2"/>
    <n v="322.02"/>
    <n v="5"/>
    <x v="1"/>
    <n v="421.05"/>
    <n v="488.23"/>
    <x v="0"/>
    <n v="7.0000000000000007E-2"/>
    <x v="2"/>
    <x v="1"/>
    <x v="3"/>
    <n v="67.180000000000007"/>
  </r>
  <r>
    <n v="1027"/>
    <x v="299"/>
    <x v="3"/>
    <x v="3"/>
    <n v="3668.23"/>
    <n v="45"/>
    <x v="1"/>
    <n v="1153.9000000000001"/>
    <n v="1485.34"/>
    <x v="1"/>
    <n v="0.25"/>
    <x v="2"/>
    <x v="1"/>
    <x v="8"/>
    <n v="331.43999999999983"/>
  </r>
  <r>
    <n v="1063"/>
    <x v="235"/>
    <x v="4"/>
    <x v="4"/>
    <n v="7859.01"/>
    <n v="27"/>
    <x v="1"/>
    <n v="2069.08"/>
    <n v="2246.2399999999998"/>
    <x v="1"/>
    <n v="0.06"/>
    <x v="1"/>
    <x v="1"/>
    <x v="9"/>
    <n v="177.15999999999985"/>
  </r>
  <r>
    <n v="1017"/>
    <x v="125"/>
    <x v="1"/>
    <x v="5"/>
    <n v="5705.19"/>
    <n v="23"/>
    <x v="3"/>
    <n v="1771.52"/>
    <n v="2147.8000000000002"/>
    <x v="1"/>
    <n v="7.0000000000000007E-2"/>
    <x v="1"/>
    <x v="0"/>
    <x v="11"/>
    <n v="376.2800000000002"/>
  </r>
  <r>
    <n v="1073"/>
    <x v="317"/>
    <x v="3"/>
    <x v="6"/>
    <n v="3196.5"/>
    <n v="40"/>
    <x v="1"/>
    <n v="157.15"/>
    <n v="436.53"/>
    <x v="1"/>
    <n v="0.04"/>
    <x v="0"/>
    <x v="1"/>
    <x v="8"/>
    <n v="279.38"/>
  </r>
  <r>
    <n v="1033"/>
    <x v="318"/>
    <x v="0"/>
    <x v="0"/>
    <n v="6577.99"/>
    <n v="14"/>
    <x v="1"/>
    <n v="504.3"/>
    <n v="735.95"/>
    <x v="0"/>
    <n v="0.21"/>
    <x v="0"/>
    <x v="1"/>
    <x v="12"/>
    <n v="231.65000000000003"/>
  </r>
  <r>
    <n v="1084"/>
    <x v="50"/>
    <x v="0"/>
    <x v="1"/>
    <n v="2396.98"/>
    <n v="15"/>
    <x v="0"/>
    <n v="3420.72"/>
    <n v="3513.74"/>
    <x v="1"/>
    <n v="0.02"/>
    <x v="0"/>
    <x v="0"/>
    <x v="3"/>
    <n v="93.019999999999982"/>
  </r>
  <r>
    <n v="1077"/>
    <x v="244"/>
    <x v="2"/>
    <x v="2"/>
    <n v="242.38"/>
    <n v="43"/>
    <x v="1"/>
    <n v="4402.66"/>
    <n v="4724.7"/>
    <x v="1"/>
    <n v="0.1"/>
    <x v="1"/>
    <x v="1"/>
    <x v="4"/>
    <n v="322.03999999999996"/>
  </r>
  <r>
    <n v="1092"/>
    <x v="319"/>
    <x v="3"/>
    <x v="3"/>
    <n v="7667.1"/>
    <n v="33"/>
    <x v="3"/>
    <n v="2595.42"/>
    <n v="3083.06"/>
    <x v="1"/>
    <n v="0.08"/>
    <x v="2"/>
    <x v="0"/>
    <x v="14"/>
    <n v="487.63999999999987"/>
  </r>
  <r>
    <n v="1029"/>
    <x v="172"/>
    <x v="2"/>
    <x v="4"/>
    <n v="6275.06"/>
    <n v="31"/>
    <x v="3"/>
    <n v="2719"/>
    <n v="3133.55"/>
    <x v="0"/>
    <n v="0.17"/>
    <x v="1"/>
    <x v="1"/>
    <x v="19"/>
    <n v="414.55000000000018"/>
  </r>
  <r>
    <n v="1013"/>
    <x v="267"/>
    <x v="4"/>
    <x v="5"/>
    <n v="7646.8"/>
    <n v="35"/>
    <x v="3"/>
    <n v="1312.71"/>
    <n v="1352.11"/>
    <x v="0"/>
    <n v="0.22"/>
    <x v="1"/>
    <x v="1"/>
    <x v="17"/>
    <n v="39.399999999999864"/>
  </r>
  <r>
    <n v="1046"/>
    <x v="251"/>
    <x v="3"/>
    <x v="6"/>
    <n v="485.49"/>
    <n v="17"/>
    <x v="0"/>
    <n v="3850.99"/>
    <n v="4045.3399999999901"/>
    <x v="0"/>
    <n v="0.16"/>
    <x v="2"/>
    <x v="0"/>
    <x v="7"/>
    <n v="194.34999999999036"/>
  </r>
  <r>
    <n v="1035"/>
    <x v="320"/>
    <x v="4"/>
    <x v="0"/>
    <n v="8387.48"/>
    <n v="28"/>
    <x v="0"/>
    <n v="3771.38"/>
    <n v="4234.92"/>
    <x v="1"/>
    <n v="0.28000000000000003"/>
    <x v="2"/>
    <x v="1"/>
    <x v="15"/>
    <n v="463.53999999999996"/>
  </r>
  <r>
    <n v="1006"/>
    <x v="211"/>
    <x v="2"/>
    <x v="1"/>
    <n v="6233.31"/>
    <n v="19"/>
    <x v="2"/>
    <n v="2962.41"/>
    <n v="3218.8999999999901"/>
    <x v="1"/>
    <n v="0.28999999999999998"/>
    <x v="0"/>
    <x v="1"/>
    <x v="19"/>
    <n v="256.48999999999023"/>
  </r>
  <r>
    <n v="1082"/>
    <x v="150"/>
    <x v="3"/>
    <x v="2"/>
    <n v="5677.61"/>
    <n v="46"/>
    <x v="1"/>
    <n v="1102.69"/>
    <n v="1437.12"/>
    <x v="1"/>
    <n v="0.11"/>
    <x v="2"/>
    <x v="0"/>
    <x v="14"/>
    <n v="334.42999999999984"/>
  </r>
  <r>
    <n v="1069"/>
    <x v="321"/>
    <x v="2"/>
    <x v="3"/>
    <n v="6283.68"/>
    <n v="23"/>
    <x v="0"/>
    <n v="530.24"/>
    <n v="987.41"/>
    <x v="0"/>
    <n v="0.23"/>
    <x v="2"/>
    <x v="0"/>
    <x v="19"/>
    <n v="457.16999999999996"/>
  </r>
  <r>
    <n v="1047"/>
    <x v="93"/>
    <x v="3"/>
    <x v="4"/>
    <n v="8657.89"/>
    <n v="32"/>
    <x v="3"/>
    <n v="367.98"/>
    <n v="806.14"/>
    <x v="0"/>
    <n v="0.22"/>
    <x v="2"/>
    <x v="1"/>
    <x v="7"/>
    <n v="438.15999999999997"/>
  </r>
  <r>
    <n v="1025"/>
    <x v="319"/>
    <x v="2"/>
    <x v="5"/>
    <n v="5910.67"/>
    <n v="40"/>
    <x v="3"/>
    <n v="2983.85"/>
    <n v="3239.74"/>
    <x v="1"/>
    <n v="0.27"/>
    <x v="2"/>
    <x v="0"/>
    <x v="5"/>
    <n v="255.88999999999987"/>
  </r>
  <r>
    <n v="1066"/>
    <x v="193"/>
    <x v="0"/>
    <x v="6"/>
    <n v="5851.41"/>
    <n v="13"/>
    <x v="0"/>
    <n v="4133.92"/>
    <n v="4358.37"/>
    <x v="1"/>
    <n v="0.13"/>
    <x v="0"/>
    <x v="1"/>
    <x v="1"/>
    <n v="224.44999999999982"/>
  </r>
  <r>
    <n v="1010"/>
    <x v="178"/>
    <x v="2"/>
    <x v="0"/>
    <n v="9907.7199999999993"/>
    <n v="20"/>
    <x v="0"/>
    <n v="4298.74"/>
    <n v="4475.1899999999996"/>
    <x v="0"/>
    <n v="0.16"/>
    <x v="0"/>
    <x v="0"/>
    <x v="19"/>
    <n v="176.44999999999982"/>
  </r>
  <r>
    <n v="1056"/>
    <x v="322"/>
    <x v="0"/>
    <x v="1"/>
    <n v="7591.63"/>
    <n v="35"/>
    <x v="0"/>
    <n v="2344.9299999999998"/>
    <n v="2707.25"/>
    <x v="1"/>
    <n v="0.12"/>
    <x v="2"/>
    <x v="1"/>
    <x v="1"/>
    <n v="362.32000000000016"/>
  </r>
  <r>
    <n v="1030"/>
    <x v="254"/>
    <x v="2"/>
    <x v="2"/>
    <n v="4478.71"/>
    <n v="5"/>
    <x v="2"/>
    <n v="3932.14"/>
    <n v="4082.7599999999902"/>
    <x v="1"/>
    <n v="0.26"/>
    <x v="2"/>
    <x v="0"/>
    <x v="5"/>
    <n v="150.61999999999034"/>
  </r>
  <r>
    <n v="1005"/>
    <x v="175"/>
    <x v="3"/>
    <x v="3"/>
    <n v="7103.23"/>
    <n v="9"/>
    <x v="3"/>
    <n v="4737.0600000000004"/>
    <n v="4869.5"/>
    <x v="1"/>
    <n v="7.0000000000000007E-2"/>
    <x v="0"/>
    <x v="0"/>
    <x v="7"/>
    <n v="132.4399999999996"/>
  </r>
  <r>
    <n v="1033"/>
    <x v="257"/>
    <x v="3"/>
    <x v="4"/>
    <n v="3953.38"/>
    <n v="29"/>
    <x v="2"/>
    <n v="1412.09"/>
    <n v="1596.6499999999901"/>
    <x v="0"/>
    <n v="7.0000000000000007E-2"/>
    <x v="0"/>
    <x v="0"/>
    <x v="14"/>
    <n v="184.55999999999017"/>
  </r>
  <r>
    <n v="1065"/>
    <x v="212"/>
    <x v="3"/>
    <x v="5"/>
    <n v="2365.87"/>
    <n v="6"/>
    <x v="2"/>
    <n v="2019.9"/>
    <n v="2116.7399999999998"/>
    <x v="1"/>
    <n v="0.11"/>
    <x v="2"/>
    <x v="0"/>
    <x v="7"/>
    <n v="96.839999999999691"/>
  </r>
  <r>
    <n v="1018"/>
    <x v="157"/>
    <x v="1"/>
    <x v="6"/>
    <n v="6008.83"/>
    <n v="25"/>
    <x v="1"/>
    <n v="4660.82"/>
    <n v="5011.4299999999903"/>
    <x v="1"/>
    <n v="7.0000000000000007E-2"/>
    <x v="1"/>
    <x v="0"/>
    <x v="13"/>
    <n v="350.60999999999058"/>
  </r>
  <r>
    <n v="1096"/>
    <x v="323"/>
    <x v="4"/>
    <x v="0"/>
    <n v="9289"/>
    <n v="31"/>
    <x v="3"/>
    <n v="1724.24"/>
    <n v="2036.2"/>
    <x v="1"/>
    <n v="0.17"/>
    <x v="0"/>
    <x v="0"/>
    <x v="18"/>
    <n v="311.96000000000004"/>
  </r>
  <r>
    <n v="1049"/>
    <x v="39"/>
    <x v="3"/>
    <x v="1"/>
    <n v="9298.48"/>
    <n v="22"/>
    <x v="3"/>
    <n v="4573.6899999999996"/>
    <n v="4820.2999999999902"/>
    <x v="1"/>
    <n v="0.04"/>
    <x v="0"/>
    <x v="0"/>
    <x v="6"/>
    <n v="246.60999999999058"/>
  </r>
  <r>
    <n v="1011"/>
    <x v="324"/>
    <x v="0"/>
    <x v="2"/>
    <n v="3484.86"/>
    <n v="2"/>
    <x v="0"/>
    <n v="4906.17"/>
    <n v="5107.43"/>
    <x v="0"/>
    <n v="0.1"/>
    <x v="0"/>
    <x v="0"/>
    <x v="12"/>
    <n v="201.26000000000022"/>
  </r>
  <r>
    <n v="1085"/>
    <x v="325"/>
    <x v="3"/>
    <x v="3"/>
    <n v="5324.01"/>
    <n v="45"/>
    <x v="0"/>
    <n v="3325.96"/>
    <n v="3781.4"/>
    <x v="0"/>
    <n v="0.27"/>
    <x v="2"/>
    <x v="0"/>
    <x v="8"/>
    <n v="455.44000000000005"/>
  </r>
  <r>
    <n v="1026"/>
    <x v="45"/>
    <x v="1"/>
    <x v="4"/>
    <n v="2195.1999999999998"/>
    <n v="5"/>
    <x v="1"/>
    <n v="4093.61"/>
    <n v="4117.88"/>
    <x v="0"/>
    <n v="0.12"/>
    <x v="2"/>
    <x v="1"/>
    <x v="16"/>
    <n v="24.269999999999982"/>
  </r>
  <r>
    <n v="1063"/>
    <x v="11"/>
    <x v="0"/>
    <x v="5"/>
    <n v="9956.75"/>
    <n v="27"/>
    <x v="2"/>
    <n v="3760.25"/>
    <n v="4147.1099999999997"/>
    <x v="1"/>
    <n v="0.22"/>
    <x v="0"/>
    <x v="0"/>
    <x v="0"/>
    <n v="386.85999999999967"/>
  </r>
  <r>
    <n v="1089"/>
    <x v="178"/>
    <x v="1"/>
    <x v="6"/>
    <n v="9813.07"/>
    <n v="25"/>
    <x v="0"/>
    <n v="3512.69"/>
    <n v="3964.63"/>
    <x v="0"/>
    <n v="0.03"/>
    <x v="2"/>
    <x v="1"/>
    <x v="2"/>
    <n v="451.94000000000005"/>
  </r>
  <r>
    <n v="1086"/>
    <x v="21"/>
    <x v="0"/>
    <x v="0"/>
    <n v="6530.14"/>
    <n v="8"/>
    <x v="0"/>
    <n v="1569.31"/>
    <n v="1798.02"/>
    <x v="1"/>
    <n v="7.0000000000000007E-2"/>
    <x v="2"/>
    <x v="0"/>
    <x v="3"/>
    <n v="228.71000000000004"/>
  </r>
  <r>
    <n v="1059"/>
    <x v="292"/>
    <x v="2"/>
    <x v="1"/>
    <n v="8063.7"/>
    <n v="1"/>
    <x v="3"/>
    <n v="332.62"/>
    <n v="612.46"/>
    <x v="0"/>
    <n v="0.24"/>
    <x v="0"/>
    <x v="1"/>
    <x v="10"/>
    <n v="279.84000000000003"/>
  </r>
  <r>
    <n v="1027"/>
    <x v="118"/>
    <x v="4"/>
    <x v="2"/>
    <n v="7179.49"/>
    <n v="20"/>
    <x v="3"/>
    <n v="1748.11"/>
    <n v="2220.9"/>
    <x v="1"/>
    <n v="0.23"/>
    <x v="2"/>
    <x v="1"/>
    <x v="17"/>
    <n v="472.79000000000019"/>
  </r>
  <r>
    <n v="1049"/>
    <x v="326"/>
    <x v="4"/>
    <x v="3"/>
    <n v="5972.27"/>
    <n v="44"/>
    <x v="0"/>
    <n v="3351.33"/>
    <n v="3465.35"/>
    <x v="0"/>
    <n v="0.12"/>
    <x v="1"/>
    <x v="0"/>
    <x v="17"/>
    <n v="114.01999999999998"/>
  </r>
  <r>
    <n v="1077"/>
    <x v="178"/>
    <x v="1"/>
    <x v="4"/>
    <n v="628.15"/>
    <n v="23"/>
    <x v="3"/>
    <n v="557.52"/>
    <n v="822.39"/>
    <x v="0"/>
    <n v="0.28999999999999998"/>
    <x v="2"/>
    <x v="0"/>
    <x v="2"/>
    <n v="264.87"/>
  </r>
  <r>
    <n v="1033"/>
    <x v="121"/>
    <x v="4"/>
    <x v="5"/>
    <n v="4602.17"/>
    <n v="32"/>
    <x v="1"/>
    <n v="108.99"/>
    <n v="351.6"/>
    <x v="0"/>
    <n v="0.27"/>
    <x v="2"/>
    <x v="1"/>
    <x v="18"/>
    <n v="242.61"/>
  </r>
  <r>
    <n v="1098"/>
    <x v="37"/>
    <x v="1"/>
    <x v="6"/>
    <n v="6780.38"/>
    <n v="11"/>
    <x v="0"/>
    <n v="741.48"/>
    <n v="878.09"/>
    <x v="1"/>
    <n v="0.28999999999999998"/>
    <x v="0"/>
    <x v="1"/>
    <x v="2"/>
    <n v="136.61000000000001"/>
  </r>
  <r>
    <n v="1099"/>
    <x v="108"/>
    <x v="1"/>
    <x v="0"/>
    <n v="6807.56"/>
    <n v="39"/>
    <x v="3"/>
    <n v="3592.89"/>
    <n v="4004"/>
    <x v="1"/>
    <n v="0.13"/>
    <x v="0"/>
    <x v="0"/>
    <x v="16"/>
    <n v="411.11000000000013"/>
  </r>
  <r>
    <n v="1001"/>
    <x v="75"/>
    <x v="1"/>
    <x v="1"/>
    <n v="3793.91"/>
    <n v="47"/>
    <x v="1"/>
    <n v="4865.33"/>
    <n v="5316.13"/>
    <x v="1"/>
    <n v="0.06"/>
    <x v="1"/>
    <x v="0"/>
    <x v="16"/>
    <n v="450.80000000000018"/>
  </r>
  <r>
    <n v="1021"/>
    <x v="193"/>
    <x v="4"/>
    <x v="2"/>
    <n v="9422.75"/>
    <n v="24"/>
    <x v="3"/>
    <n v="4916.17"/>
    <n v="5309.32"/>
    <x v="0"/>
    <n v="0.19"/>
    <x v="2"/>
    <x v="0"/>
    <x v="17"/>
    <n v="393.14999999999964"/>
  </r>
  <r>
    <n v="1055"/>
    <x v="76"/>
    <x v="1"/>
    <x v="3"/>
    <n v="1756.83"/>
    <n v="11"/>
    <x v="3"/>
    <n v="2495.1999999999998"/>
    <n v="2600.9299999999998"/>
    <x v="1"/>
    <n v="0.21"/>
    <x v="1"/>
    <x v="1"/>
    <x v="16"/>
    <n v="105.73000000000002"/>
  </r>
  <r>
    <n v="1006"/>
    <x v="320"/>
    <x v="4"/>
    <x v="4"/>
    <n v="5053.5600000000004"/>
    <n v="29"/>
    <x v="3"/>
    <n v="4353.29"/>
    <n v="4405.8"/>
    <x v="1"/>
    <n v="0.04"/>
    <x v="1"/>
    <x v="0"/>
    <x v="9"/>
    <n v="52.510000000000218"/>
  </r>
  <r>
    <n v="1092"/>
    <x v="243"/>
    <x v="1"/>
    <x v="5"/>
    <n v="6939.75"/>
    <n v="26"/>
    <x v="0"/>
    <n v="3697.29"/>
    <n v="4003.96"/>
    <x v="1"/>
    <n v="0.24"/>
    <x v="0"/>
    <x v="0"/>
    <x v="13"/>
    <n v="306.67000000000007"/>
  </r>
  <r>
    <n v="1081"/>
    <x v="222"/>
    <x v="3"/>
    <x v="6"/>
    <n v="7001.64"/>
    <n v="16"/>
    <x v="2"/>
    <n v="2530.15"/>
    <n v="2568.13"/>
    <x v="1"/>
    <n v="0.01"/>
    <x v="2"/>
    <x v="0"/>
    <x v="7"/>
    <n v="37.980000000000018"/>
  </r>
  <r>
    <n v="1069"/>
    <x v="181"/>
    <x v="1"/>
    <x v="0"/>
    <n v="6521.53"/>
    <n v="35"/>
    <x v="3"/>
    <n v="2885.16"/>
    <n v="3224.8399999999901"/>
    <x v="1"/>
    <n v="0.14000000000000001"/>
    <x v="0"/>
    <x v="0"/>
    <x v="11"/>
    <n v="339.67999999999029"/>
  </r>
  <r>
    <n v="1095"/>
    <x v="3"/>
    <x v="0"/>
    <x v="1"/>
    <n v="2825.35"/>
    <n v="20"/>
    <x v="1"/>
    <n v="729.27"/>
    <n v="999.18"/>
    <x v="1"/>
    <n v="0.1"/>
    <x v="1"/>
    <x v="0"/>
    <x v="1"/>
    <n v="269.90999999999997"/>
  </r>
  <r>
    <n v="1005"/>
    <x v="154"/>
    <x v="1"/>
    <x v="2"/>
    <n v="1646.45"/>
    <n v="46"/>
    <x v="0"/>
    <n v="4691.42"/>
    <n v="5026.1899999999996"/>
    <x v="0"/>
    <n v="0.22"/>
    <x v="1"/>
    <x v="1"/>
    <x v="2"/>
    <n v="334.76999999999953"/>
  </r>
  <r>
    <n v="1003"/>
    <x v="327"/>
    <x v="2"/>
    <x v="3"/>
    <n v="6395.81"/>
    <n v="3"/>
    <x v="0"/>
    <n v="1792.05"/>
    <n v="2091.23"/>
    <x v="0"/>
    <n v="0.09"/>
    <x v="0"/>
    <x v="1"/>
    <x v="19"/>
    <n v="299.18000000000006"/>
  </r>
  <r>
    <n v="1053"/>
    <x v="131"/>
    <x v="1"/>
    <x v="4"/>
    <n v="6033.09"/>
    <n v="1"/>
    <x v="1"/>
    <n v="2258.44"/>
    <n v="2475.56"/>
    <x v="1"/>
    <n v="0.25"/>
    <x v="0"/>
    <x v="0"/>
    <x v="11"/>
    <n v="217.11999999999989"/>
  </r>
  <r>
    <n v="1023"/>
    <x v="296"/>
    <x v="0"/>
    <x v="5"/>
    <n v="1875.62"/>
    <n v="47"/>
    <x v="3"/>
    <n v="3374.72"/>
    <n v="3483.1499999999901"/>
    <x v="0"/>
    <n v="0.18"/>
    <x v="0"/>
    <x v="0"/>
    <x v="12"/>
    <n v="108.42999999999029"/>
  </r>
  <r>
    <n v="1053"/>
    <x v="76"/>
    <x v="0"/>
    <x v="6"/>
    <n v="7080.88"/>
    <n v="1"/>
    <x v="2"/>
    <n v="1702.82"/>
    <n v="1862.61"/>
    <x v="0"/>
    <n v="0.24"/>
    <x v="0"/>
    <x v="1"/>
    <x v="12"/>
    <n v="159.78999999999996"/>
  </r>
  <r>
    <n v="1037"/>
    <x v="291"/>
    <x v="4"/>
    <x v="0"/>
    <n v="4606.2"/>
    <n v="17"/>
    <x v="3"/>
    <n v="1308.58"/>
    <n v="1575.59"/>
    <x v="1"/>
    <n v="0.3"/>
    <x v="0"/>
    <x v="0"/>
    <x v="9"/>
    <n v="267.01"/>
  </r>
  <r>
    <n v="1074"/>
    <x v="216"/>
    <x v="3"/>
    <x v="1"/>
    <n v="6710.83"/>
    <n v="2"/>
    <x v="1"/>
    <n v="3173.69"/>
    <n v="3503.11"/>
    <x v="1"/>
    <n v="0.2"/>
    <x v="1"/>
    <x v="1"/>
    <x v="8"/>
    <n v="329.42000000000007"/>
  </r>
  <r>
    <n v="1074"/>
    <x v="160"/>
    <x v="1"/>
    <x v="2"/>
    <n v="8389.93"/>
    <n v="29"/>
    <x v="0"/>
    <n v="173.67"/>
    <n v="565.62"/>
    <x v="0"/>
    <n v="0.3"/>
    <x v="0"/>
    <x v="0"/>
    <x v="2"/>
    <n v="391.95000000000005"/>
  </r>
  <r>
    <n v="1083"/>
    <x v="325"/>
    <x v="4"/>
    <x v="3"/>
    <n v="1780.31"/>
    <n v="20"/>
    <x v="2"/>
    <n v="3617.59"/>
    <n v="4003.5"/>
    <x v="1"/>
    <n v="0.01"/>
    <x v="2"/>
    <x v="1"/>
    <x v="17"/>
    <n v="385.90999999999985"/>
  </r>
  <r>
    <n v="1017"/>
    <x v="120"/>
    <x v="3"/>
    <x v="4"/>
    <n v="289.52999999999997"/>
    <n v="6"/>
    <x v="0"/>
    <n v="2594.42"/>
    <n v="3081.04"/>
    <x v="0"/>
    <n v="0.1"/>
    <x v="1"/>
    <x v="1"/>
    <x v="7"/>
    <n v="486.61999999999989"/>
  </r>
  <r>
    <n v="1085"/>
    <x v="201"/>
    <x v="1"/>
    <x v="5"/>
    <n v="7813.12"/>
    <n v="8"/>
    <x v="1"/>
    <n v="3048.48"/>
    <n v="3198.54"/>
    <x v="0"/>
    <n v="0.03"/>
    <x v="1"/>
    <x v="0"/>
    <x v="16"/>
    <n v="150.05999999999995"/>
  </r>
  <r>
    <n v="1078"/>
    <x v="315"/>
    <x v="2"/>
    <x v="6"/>
    <n v="6136"/>
    <n v="29"/>
    <x v="3"/>
    <n v="3177.81"/>
    <n v="3222.65"/>
    <x v="0"/>
    <n v="0.08"/>
    <x v="2"/>
    <x v="1"/>
    <x v="10"/>
    <n v="44.840000000000146"/>
  </r>
  <r>
    <n v="1073"/>
    <x v="10"/>
    <x v="1"/>
    <x v="0"/>
    <n v="7026.43"/>
    <n v="48"/>
    <x v="2"/>
    <n v="2658.9"/>
    <n v="2838.27"/>
    <x v="1"/>
    <n v="0.25"/>
    <x v="2"/>
    <x v="0"/>
    <x v="2"/>
    <n v="179.36999999999989"/>
  </r>
  <r>
    <n v="1001"/>
    <x v="232"/>
    <x v="0"/>
    <x v="1"/>
    <n v="8397.73"/>
    <n v="33"/>
    <x v="0"/>
    <n v="2933.54"/>
    <n v="3307.75"/>
    <x v="0"/>
    <n v="0.01"/>
    <x v="1"/>
    <x v="1"/>
    <x v="1"/>
    <n v="374.21000000000004"/>
  </r>
  <r>
    <n v="1051"/>
    <x v="227"/>
    <x v="0"/>
    <x v="2"/>
    <n v="8047.83"/>
    <n v="3"/>
    <x v="0"/>
    <n v="3434.75"/>
    <n v="3659.42"/>
    <x v="1"/>
    <n v="0.16"/>
    <x v="0"/>
    <x v="0"/>
    <x v="1"/>
    <n v="224.67000000000007"/>
  </r>
  <r>
    <n v="1045"/>
    <x v="267"/>
    <x v="2"/>
    <x v="3"/>
    <n v="9613.11"/>
    <n v="35"/>
    <x v="0"/>
    <n v="3777.94"/>
    <n v="4188.66"/>
    <x v="1"/>
    <n v="0.17"/>
    <x v="1"/>
    <x v="0"/>
    <x v="10"/>
    <n v="410.7199999999998"/>
  </r>
  <r>
    <n v="1077"/>
    <x v="279"/>
    <x v="4"/>
    <x v="4"/>
    <n v="5405.76"/>
    <n v="5"/>
    <x v="3"/>
    <n v="3650.89"/>
    <n v="3930.06"/>
    <x v="1"/>
    <n v="0.17"/>
    <x v="1"/>
    <x v="0"/>
    <x v="17"/>
    <n v="279.17000000000007"/>
  </r>
  <r>
    <n v="1004"/>
    <x v="326"/>
    <x v="3"/>
    <x v="5"/>
    <n v="4936.1099999999997"/>
    <n v="27"/>
    <x v="2"/>
    <n v="4354.6000000000004"/>
    <n v="4820.2"/>
    <x v="1"/>
    <n v="0.14000000000000001"/>
    <x v="2"/>
    <x v="1"/>
    <x v="6"/>
    <n v="465.59999999999945"/>
  </r>
  <r>
    <n v="1062"/>
    <x v="328"/>
    <x v="1"/>
    <x v="6"/>
    <n v="4078.68"/>
    <n v="44"/>
    <x v="3"/>
    <n v="987.74"/>
    <n v="1462.19"/>
    <x v="1"/>
    <n v="0.24"/>
    <x v="1"/>
    <x v="0"/>
    <x v="2"/>
    <n v="474.45000000000005"/>
  </r>
  <r>
    <n v="1065"/>
    <x v="243"/>
    <x v="0"/>
    <x v="0"/>
    <n v="1621.54"/>
    <n v="12"/>
    <x v="3"/>
    <n v="2035.68"/>
    <n v="2079.64"/>
    <x v="0"/>
    <n v="0.04"/>
    <x v="0"/>
    <x v="0"/>
    <x v="3"/>
    <n v="43.959999999999809"/>
  </r>
  <r>
    <n v="1032"/>
    <x v="288"/>
    <x v="4"/>
    <x v="1"/>
    <n v="5768.81"/>
    <n v="20"/>
    <x v="3"/>
    <n v="4741.59"/>
    <n v="4975.2299999999996"/>
    <x v="1"/>
    <n v="0.09"/>
    <x v="2"/>
    <x v="0"/>
    <x v="15"/>
    <n v="233.63999999999942"/>
  </r>
  <r>
    <n v="1034"/>
    <x v="88"/>
    <x v="2"/>
    <x v="2"/>
    <n v="2842.42"/>
    <n v="45"/>
    <x v="1"/>
    <n v="2013.12"/>
    <n v="2321.87"/>
    <x v="1"/>
    <n v="0.18"/>
    <x v="1"/>
    <x v="1"/>
    <x v="5"/>
    <n v="308.75"/>
  </r>
  <r>
    <n v="1092"/>
    <x v="116"/>
    <x v="0"/>
    <x v="3"/>
    <n v="9220.94"/>
    <n v="20"/>
    <x v="1"/>
    <n v="668.11"/>
    <n v="803.49"/>
    <x v="1"/>
    <n v="0.21"/>
    <x v="1"/>
    <x v="0"/>
    <x v="12"/>
    <n v="135.38"/>
  </r>
  <r>
    <n v="1095"/>
    <x v="329"/>
    <x v="2"/>
    <x v="4"/>
    <n v="5873.59"/>
    <n v="9"/>
    <x v="1"/>
    <n v="2650.95"/>
    <n v="2860.4199999999901"/>
    <x v="1"/>
    <n v="0.12"/>
    <x v="0"/>
    <x v="1"/>
    <x v="4"/>
    <n v="209.46999999999025"/>
  </r>
  <r>
    <n v="1072"/>
    <x v="117"/>
    <x v="1"/>
    <x v="5"/>
    <n v="5969.12"/>
    <n v="39"/>
    <x v="2"/>
    <n v="591.98"/>
    <n v="934.04"/>
    <x v="1"/>
    <n v="0.26"/>
    <x v="1"/>
    <x v="1"/>
    <x v="13"/>
    <n v="342.05999999999995"/>
  </r>
  <r>
    <n v="1039"/>
    <x v="203"/>
    <x v="3"/>
    <x v="6"/>
    <n v="3613.75"/>
    <n v="4"/>
    <x v="3"/>
    <n v="1054.1199999999999"/>
    <n v="1175.21999999999"/>
    <x v="0"/>
    <n v="0.12"/>
    <x v="1"/>
    <x v="1"/>
    <x v="6"/>
    <n v="121.09999999999013"/>
  </r>
  <r>
    <n v="1026"/>
    <x v="324"/>
    <x v="0"/>
    <x v="0"/>
    <n v="614.69000000000005"/>
    <n v="19"/>
    <x v="3"/>
    <n v="4991.68"/>
    <n v="5296.65"/>
    <x v="1"/>
    <n v="0.12"/>
    <x v="1"/>
    <x v="0"/>
    <x v="12"/>
    <n v="304.96999999999935"/>
  </r>
  <r>
    <n v="1034"/>
    <x v="243"/>
    <x v="0"/>
    <x v="1"/>
    <n v="414.26"/>
    <n v="38"/>
    <x v="1"/>
    <n v="2729.75"/>
    <n v="3081.5"/>
    <x v="1"/>
    <n v="0.01"/>
    <x v="1"/>
    <x v="0"/>
    <x v="12"/>
    <n v="351.75"/>
  </r>
  <r>
    <n v="1054"/>
    <x v="330"/>
    <x v="1"/>
    <x v="2"/>
    <n v="4291.0200000000004"/>
    <n v="27"/>
    <x v="3"/>
    <n v="1456.09"/>
    <n v="1510.4299999999901"/>
    <x v="0"/>
    <n v="0.17"/>
    <x v="0"/>
    <x v="1"/>
    <x v="13"/>
    <n v="54.339999999990141"/>
  </r>
  <r>
    <n v="1003"/>
    <x v="331"/>
    <x v="4"/>
    <x v="3"/>
    <n v="937.2"/>
    <n v="45"/>
    <x v="3"/>
    <n v="4974.1400000000003"/>
    <n v="5227.93"/>
    <x v="1"/>
    <n v="0.21"/>
    <x v="1"/>
    <x v="0"/>
    <x v="18"/>
    <n v="253.78999999999996"/>
  </r>
  <r>
    <n v="1050"/>
    <x v="272"/>
    <x v="3"/>
    <x v="4"/>
    <n v="6107.78"/>
    <n v="43"/>
    <x v="0"/>
    <n v="4834.47"/>
    <n v="4973.38"/>
    <x v="0"/>
    <n v="0.03"/>
    <x v="1"/>
    <x v="0"/>
    <x v="6"/>
    <n v="138.90999999999985"/>
  </r>
  <r>
    <n v="1012"/>
    <x v="89"/>
    <x v="0"/>
    <x v="5"/>
    <n v="8821.6299999999992"/>
    <n v="13"/>
    <x v="3"/>
    <n v="2231.66"/>
    <n v="2596.6099999999901"/>
    <x v="0"/>
    <n v="0.09"/>
    <x v="1"/>
    <x v="1"/>
    <x v="1"/>
    <n v="364.94999999999027"/>
  </r>
  <r>
    <n v="1065"/>
    <x v="253"/>
    <x v="3"/>
    <x v="6"/>
    <n v="8840.86"/>
    <n v="13"/>
    <x v="0"/>
    <n v="1339"/>
    <n v="1441.88"/>
    <x v="0"/>
    <n v="0.23"/>
    <x v="2"/>
    <x v="1"/>
    <x v="6"/>
    <n v="102.88000000000011"/>
  </r>
  <r>
    <n v="1054"/>
    <x v="332"/>
    <x v="0"/>
    <x v="0"/>
    <n v="6624.55"/>
    <n v="22"/>
    <x v="3"/>
    <n v="4200.08"/>
    <n v="4647.28"/>
    <x v="0"/>
    <n v="0.11"/>
    <x v="0"/>
    <x v="0"/>
    <x v="12"/>
    <n v="447.19999999999982"/>
  </r>
  <r>
    <n v="1005"/>
    <x v="94"/>
    <x v="3"/>
    <x v="1"/>
    <n v="2191.1999999999998"/>
    <n v="28"/>
    <x v="2"/>
    <n v="3592.32"/>
    <n v="3813.48"/>
    <x v="1"/>
    <n v="7.0000000000000007E-2"/>
    <x v="2"/>
    <x v="1"/>
    <x v="14"/>
    <n v="221.15999999999985"/>
  </r>
  <r>
    <n v="1094"/>
    <x v="248"/>
    <x v="2"/>
    <x v="2"/>
    <n v="8643.67"/>
    <n v="47"/>
    <x v="1"/>
    <n v="3450.36"/>
    <n v="3557.38"/>
    <x v="1"/>
    <n v="0.2"/>
    <x v="2"/>
    <x v="0"/>
    <x v="10"/>
    <n v="107.01999999999998"/>
  </r>
  <r>
    <n v="1094"/>
    <x v="120"/>
    <x v="0"/>
    <x v="3"/>
    <n v="8872.33"/>
    <n v="45"/>
    <x v="0"/>
    <n v="4470.91"/>
    <n v="4695.54"/>
    <x v="0"/>
    <n v="0.06"/>
    <x v="0"/>
    <x v="1"/>
    <x v="0"/>
    <n v="224.63000000000011"/>
  </r>
  <r>
    <n v="1057"/>
    <x v="115"/>
    <x v="3"/>
    <x v="4"/>
    <n v="2046.87"/>
    <n v="22"/>
    <x v="1"/>
    <n v="3462.61"/>
    <n v="3672.89"/>
    <x v="0"/>
    <n v="0.27"/>
    <x v="2"/>
    <x v="0"/>
    <x v="14"/>
    <n v="210.27999999999975"/>
  </r>
  <r>
    <n v="1017"/>
    <x v="195"/>
    <x v="4"/>
    <x v="5"/>
    <n v="7400.52"/>
    <n v="43"/>
    <x v="0"/>
    <n v="1454.8"/>
    <n v="1674.97"/>
    <x v="1"/>
    <n v="0.03"/>
    <x v="2"/>
    <x v="0"/>
    <x v="15"/>
    <n v="220.17000000000007"/>
  </r>
  <r>
    <n v="1047"/>
    <x v="312"/>
    <x v="2"/>
    <x v="6"/>
    <n v="2936.54"/>
    <n v="19"/>
    <x v="0"/>
    <n v="3484.62"/>
    <n v="3781.5499999999902"/>
    <x v="0"/>
    <n v="0.21"/>
    <x v="2"/>
    <x v="1"/>
    <x v="4"/>
    <n v="296.92999999999029"/>
  </r>
  <r>
    <n v="1023"/>
    <x v="80"/>
    <x v="2"/>
    <x v="0"/>
    <n v="8046.14"/>
    <n v="8"/>
    <x v="0"/>
    <n v="1563.78"/>
    <n v="1829.1599999999901"/>
    <x v="0"/>
    <n v="0.15"/>
    <x v="0"/>
    <x v="0"/>
    <x v="19"/>
    <n v="265.3799999999901"/>
  </r>
  <r>
    <n v="1079"/>
    <x v="3"/>
    <x v="4"/>
    <x v="1"/>
    <n v="9972.66"/>
    <n v="8"/>
    <x v="2"/>
    <n v="3808.23"/>
    <n v="3891.62"/>
    <x v="0"/>
    <n v="0.26"/>
    <x v="1"/>
    <x v="0"/>
    <x v="15"/>
    <n v="83.389999999999873"/>
  </r>
  <r>
    <n v="1085"/>
    <x v="283"/>
    <x v="3"/>
    <x v="2"/>
    <n v="397.26"/>
    <n v="42"/>
    <x v="3"/>
    <n v="3117.75"/>
    <n v="3159.88"/>
    <x v="1"/>
    <n v="0.04"/>
    <x v="0"/>
    <x v="1"/>
    <x v="7"/>
    <n v="42.130000000000109"/>
  </r>
  <r>
    <n v="1014"/>
    <x v="132"/>
    <x v="1"/>
    <x v="3"/>
    <n v="8983.92"/>
    <n v="26"/>
    <x v="0"/>
    <n v="433.19"/>
    <n v="800.6"/>
    <x v="0"/>
    <n v="0.2"/>
    <x v="0"/>
    <x v="0"/>
    <x v="2"/>
    <n v="367.41"/>
  </r>
  <r>
    <n v="1066"/>
    <x v="231"/>
    <x v="4"/>
    <x v="4"/>
    <n v="6264.04"/>
    <n v="48"/>
    <x v="2"/>
    <n v="2588.54"/>
    <n v="2872.8"/>
    <x v="1"/>
    <n v="0.17"/>
    <x v="0"/>
    <x v="0"/>
    <x v="15"/>
    <n v="284.26000000000022"/>
  </r>
  <r>
    <n v="1075"/>
    <x v="196"/>
    <x v="3"/>
    <x v="5"/>
    <n v="9736.49"/>
    <n v="26"/>
    <x v="0"/>
    <n v="1749.34"/>
    <n v="1935.25"/>
    <x v="1"/>
    <n v="0.14000000000000001"/>
    <x v="2"/>
    <x v="0"/>
    <x v="7"/>
    <n v="185.91000000000008"/>
  </r>
  <r>
    <n v="1051"/>
    <x v="78"/>
    <x v="4"/>
    <x v="6"/>
    <n v="4703.59"/>
    <n v="23"/>
    <x v="3"/>
    <n v="1676.42"/>
    <n v="2082.52"/>
    <x v="1"/>
    <n v="0.15"/>
    <x v="1"/>
    <x v="1"/>
    <x v="15"/>
    <n v="406.09999999999991"/>
  </r>
  <r>
    <n v="1038"/>
    <x v="159"/>
    <x v="4"/>
    <x v="0"/>
    <n v="8489.14"/>
    <n v="43"/>
    <x v="0"/>
    <n v="3031.17"/>
    <n v="3231.32"/>
    <x v="0"/>
    <n v="0.22"/>
    <x v="0"/>
    <x v="1"/>
    <x v="18"/>
    <n v="200.15000000000009"/>
  </r>
  <r>
    <n v="1064"/>
    <x v="167"/>
    <x v="0"/>
    <x v="1"/>
    <n v="717.7"/>
    <n v="13"/>
    <x v="2"/>
    <n v="1645.51"/>
    <n v="2045.53"/>
    <x v="0"/>
    <n v="0.28000000000000003"/>
    <x v="0"/>
    <x v="1"/>
    <x v="0"/>
    <n v="400.02"/>
  </r>
  <r>
    <n v="1098"/>
    <x v="176"/>
    <x v="3"/>
    <x v="2"/>
    <n v="3419.26"/>
    <n v="28"/>
    <x v="3"/>
    <n v="3895.62"/>
    <n v="4055.44"/>
    <x v="1"/>
    <n v="0.03"/>
    <x v="1"/>
    <x v="1"/>
    <x v="14"/>
    <n v="159.82000000000016"/>
  </r>
  <r>
    <n v="1038"/>
    <x v="288"/>
    <x v="1"/>
    <x v="3"/>
    <n v="763.46"/>
    <n v="9"/>
    <x v="2"/>
    <n v="400.42"/>
    <n v="446.11"/>
    <x v="1"/>
    <n v="0.01"/>
    <x v="1"/>
    <x v="1"/>
    <x v="11"/>
    <n v="45.69"/>
  </r>
  <r>
    <n v="1050"/>
    <x v="249"/>
    <x v="0"/>
    <x v="4"/>
    <n v="9755.9"/>
    <n v="20"/>
    <x v="3"/>
    <n v="3318.92"/>
    <n v="3785.91"/>
    <x v="1"/>
    <n v="0.24"/>
    <x v="1"/>
    <x v="0"/>
    <x v="0"/>
    <n v="466.98999999999978"/>
  </r>
  <r>
    <n v="1098"/>
    <x v="333"/>
    <x v="4"/>
    <x v="5"/>
    <n v="8188.04"/>
    <n v="19"/>
    <x v="3"/>
    <n v="4055.51"/>
    <n v="4258.84"/>
    <x v="0"/>
    <n v="0.03"/>
    <x v="2"/>
    <x v="0"/>
    <x v="9"/>
    <n v="203.32999999999993"/>
  </r>
  <r>
    <n v="1082"/>
    <x v="230"/>
    <x v="4"/>
    <x v="6"/>
    <n v="8540.2199999999993"/>
    <n v="48"/>
    <x v="1"/>
    <n v="3380.52"/>
    <n v="3778.94"/>
    <x v="0"/>
    <n v="0.3"/>
    <x v="1"/>
    <x v="0"/>
    <x v="18"/>
    <n v="398.42000000000007"/>
  </r>
  <r>
    <n v="1030"/>
    <x v="288"/>
    <x v="4"/>
    <x v="0"/>
    <n v="9385.86"/>
    <n v="39"/>
    <x v="1"/>
    <n v="2511.2800000000002"/>
    <n v="2658.06"/>
    <x v="1"/>
    <n v="0.19"/>
    <x v="2"/>
    <x v="1"/>
    <x v="15"/>
    <n v="146.77999999999975"/>
  </r>
  <r>
    <n v="1079"/>
    <x v="17"/>
    <x v="3"/>
    <x v="1"/>
    <n v="942.52"/>
    <n v="12"/>
    <x v="1"/>
    <n v="4754.0200000000004"/>
    <n v="5080.74"/>
    <x v="1"/>
    <n v="0.2"/>
    <x v="0"/>
    <x v="0"/>
    <x v="14"/>
    <n v="326.71999999999935"/>
  </r>
  <r>
    <n v="1091"/>
    <x v="279"/>
    <x v="3"/>
    <x v="2"/>
    <n v="3917.42"/>
    <n v="15"/>
    <x v="3"/>
    <n v="1534.7"/>
    <n v="1972.62"/>
    <x v="0"/>
    <n v="0.06"/>
    <x v="2"/>
    <x v="1"/>
    <x v="14"/>
    <n v="437.91999999999985"/>
  </r>
  <r>
    <n v="1051"/>
    <x v="10"/>
    <x v="0"/>
    <x v="3"/>
    <n v="803.25"/>
    <n v="31"/>
    <x v="0"/>
    <n v="144.88"/>
    <n v="175.29"/>
    <x v="1"/>
    <n v="7.0000000000000007E-2"/>
    <x v="1"/>
    <x v="0"/>
    <x v="1"/>
    <n v="30.409999999999997"/>
  </r>
  <r>
    <n v="1063"/>
    <x v="293"/>
    <x v="1"/>
    <x v="4"/>
    <n v="2186.85"/>
    <n v="14"/>
    <x v="2"/>
    <n v="2188.35"/>
    <n v="2605.3599999999901"/>
    <x v="0"/>
    <n v="0.2"/>
    <x v="2"/>
    <x v="1"/>
    <x v="2"/>
    <n v="417.00999999999021"/>
  </r>
  <r>
    <n v="1098"/>
    <x v="200"/>
    <x v="0"/>
    <x v="5"/>
    <n v="2370.7199999999998"/>
    <n v="11"/>
    <x v="2"/>
    <n v="213.41"/>
    <n v="503.36"/>
    <x v="0"/>
    <n v="0.27"/>
    <x v="1"/>
    <x v="0"/>
    <x v="3"/>
    <n v="289.95000000000005"/>
  </r>
  <r>
    <n v="1052"/>
    <x v="25"/>
    <x v="2"/>
    <x v="6"/>
    <n v="4744.16"/>
    <n v="26"/>
    <x v="2"/>
    <n v="4771.99"/>
    <n v="5079.6499999999996"/>
    <x v="1"/>
    <n v="0.28999999999999998"/>
    <x v="2"/>
    <x v="0"/>
    <x v="10"/>
    <n v="307.65999999999985"/>
  </r>
  <r>
    <n v="1038"/>
    <x v="196"/>
    <x v="4"/>
    <x v="0"/>
    <n v="2758.77"/>
    <n v="42"/>
    <x v="1"/>
    <n v="1089.0899999999999"/>
    <n v="1355.44"/>
    <x v="1"/>
    <n v="0.06"/>
    <x v="0"/>
    <x v="1"/>
    <x v="17"/>
    <n v="266.35000000000014"/>
  </r>
  <r>
    <n v="1097"/>
    <x v="188"/>
    <x v="4"/>
    <x v="1"/>
    <n v="1099.68"/>
    <n v="27"/>
    <x v="3"/>
    <n v="3955.19"/>
    <n v="4393.68"/>
    <x v="0"/>
    <n v="0.04"/>
    <x v="2"/>
    <x v="0"/>
    <x v="17"/>
    <n v="438.49000000000024"/>
  </r>
  <r>
    <n v="1088"/>
    <x v="142"/>
    <x v="4"/>
    <x v="2"/>
    <n v="1758.16"/>
    <n v="11"/>
    <x v="1"/>
    <n v="3884.13"/>
    <n v="3915.41"/>
    <x v="0"/>
    <n v="0.02"/>
    <x v="0"/>
    <x v="0"/>
    <x v="9"/>
    <n v="31.279999999999745"/>
  </r>
  <r>
    <n v="1079"/>
    <x v="275"/>
    <x v="0"/>
    <x v="3"/>
    <n v="1558.03"/>
    <n v="38"/>
    <x v="0"/>
    <n v="1127.76"/>
    <n v="1265.6600000000001"/>
    <x v="0"/>
    <n v="0.26"/>
    <x v="1"/>
    <x v="1"/>
    <x v="1"/>
    <n v="137.90000000000009"/>
  </r>
  <r>
    <n v="1030"/>
    <x v="262"/>
    <x v="0"/>
    <x v="4"/>
    <n v="9733.4599999999991"/>
    <n v="34"/>
    <x v="3"/>
    <n v="3125.07"/>
    <n v="3564.19"/>
    <x v="0"/>
    <n v="0.09"/>
    <x v="0"/>
    <x v="0"/>
    <x v="1"/>
    <n v="439.11999999999989"/>
  </r>
  <r>
    <n v="1051"/>
    <x v="15"/>
    <x v="4"/>
    <x v="5"/>
    <n v="7617"/>
    <n v="43"/>
    <x v="2"/>
    <n v="287.99"/>
    <n v="666.64"/>
    <x v="0"/>
    <n v="0"/>
    <x v="1"/>
    <x v="0"/>
    <x v="17"/>
    <n v="378.65"/>
  </r>
  <r>
    <n v="1081"/>
    <x v="265"/>
    <x v="0"/>
    <x v="6"/>
    <n v="9680.84"/>
    <n v="19"/>
    <x v="1"/>
    <n v="2443.69"/>
    <n v="2462.34"/>
    <x v="1"/>
    <n v="7.0000000000000007E-2"/>
    <x v="1"/>
    <x v="1"/>
    <x v="3"/>
    <n v="18.650000000000091"/>
  </r>
  <r>
    <n v="1005"/>
    <x v="91"/>
    <x v="3"/>
    <x v="0"/>
    <n v="4453.43"/>
    <n v="6"/>
    <x v="1"/>
    <n v="122.5"/>
    <n v="385.83"/>
    <x v="0"/>
    <n v="0.1"/>
    <x v="0"/>
    <x v="1"/>
    <x v="6"/>
    <n v="263.33"/>
  </r>
  <r>
    <n v="1029"/>
    <x v="159"/>
    <x v="3"/>
    <x v="1"/>
    <n v="2855.85"/>
    <n v="46"/>
    <x v="0"/>
    <n v="4609.66"/>
    <n v="4879.1499999999996"/>
    <x v="0"/>
    <n v="0.3"/>
    <x v="0"/>
    <x v="1"/>
    <x v="6"/>
    <n v="269.48999999999978"/>
  </r>
  <r>
    <n v="1004"/>
    <x v="109"/>
    <x v="0"/>
    <x v="2"/>
    <n v="8003.1"/>
    <n v="38"/>
    <x v="0"/>
    <n v="4881.63"/>
    <n v="5088.0600000000004"/>
    <x v="0"/>
    <n v="0.16"/>
    <x v="2"/>
    <x v="1"/>
    <x v="1"/>
    <n v="206.43000000000029"/>
  </r>
  <r>
    <n v="1010"/>
    <x v="210"/>
    <x v="4"/>
    <x v="3"/>
    <n v="3329.91"/>
    <n v="49"/>
    <x v="1"/>
    <n v="1150.3"/>
    <n v="1306.02"/>
    <x v="1"/>
    <n v="0.06"/>
    <x v="2"/>
    <x v="1"/>
    <x v="9"/>
    <n v="155.72000000000003"/>
  </r>
  <r>
    <n v="1056"/>
    <x v="241"/>
    <x v="0"/>
    <x v="4"/>
    <n v="3063.9"/>
    <n v="42"/>
    <x v="0"/>
    <n v="1080.1199999999999"/>
    <n v="1424.1699999999901"/>
    <x v="1"/>
    <n v="0.1"/>
    <x v="0"/>
    <x v="0"/>
    <x v="1"/>
    <n v="344.04999999999018"/>
  </r>
  <r>
    <n v="1017"/>
    <x v="85"/>
    <x v="0"/>
    <x v="5"/>
    <n v="2401.81"/>
    <n v="28"/>
    <x v="2"/>
    <n v="3780.91"/>
    <n v="3892.73"/>
    <x v="0"/>
    <n v="0.1"/>
    <x v="0"/>
    <x v="1"/>
    <x v="0"/>
    <n v="111.82000000000016"/>
  </r>
  <r>
    <n v="1074"/>
    <x v="248"/>
    <x v="0"/>
    <x v="6"/>
    <n v="1383.82"/>
    <n v="1"/>
    <x v="0"/>
    <n v="1304.23"/>
    <n v="1705.71"/>
    <x v="0"/>
    <n v="0.01"/>
    <x v="0"/>
    <x v="1"/>
    <x v="1"/>
    <n v="401.48"/>
  </r>
  <r>
    <n v="1017"/>
    <x v="294"/>
    <x v="2"/>
    <x v="0"/>
    <n v="2638.98"/>
    <n v="35"/>
    <x v="0"/>
    <n v="4480.63"/>
    <n v="4884.12"/>
    <x v="1"/>
    <n v="0.04"/>
    <x v="0"/>
    <x v="0"/>
    <x v="4"/>
    <n v="403.48999999999978"/>
  </r>
  <r>
    <n v="1084"/>
    <x v="270"/>
    <x v="3"/>
    <x v="1"/>
    <n v="3617.67"/>
    <n v="40"/>
    <x v="1"/>
    <n v="2890.95"/>
    <n v="3104.43"/>
    <x v="1"/>
    <n v="0.21"/>
    <x v="1"/>
    <x v="0"/>
    <x v="6"/>
    <n v="213.48000000000002"/>
  </r>
  <r>
    <n v="1088"/>
    <x v="250"/>
    <x v="1"/>
    <x v="2"/>
    <n v="6772.54"/>
    <n v="8"/>
    <x v="1"/>
    <n v="1786.35"/>
    <n v="1935.29"/>
    <x v="1"/>
    <n v="0.04"/>
    <x v="0"/>
    <x v="0"/>
    <x v="2"/>
    <n v="148.94000000000005"/>
  </r>
  <r>
    <n v="1069"/>
    <x v="126"/>
    <x v="1"/>
    <x v="3"/>
    <n v="719.39"/>
    <n v="47"/>
    <x v="3"/>
    <n v="4171.83"/>
    <n v="4320.93"/>
    <x v="1"/>
    <n v="7.0000000000000007E-2"/>
    <x v="0"/>
    <x v="0"/>
    <x v="16"/>
    <n v="149.10000000000036"/>
  </r>
  <r>
    <n v="1034"/>
    <x v="154"/>
    <x v="2"/>
    <x v="4"/>
    <n v="2184.02"/>
    <n v="7"/>
    <x v="3"/>
    <n v="2492.36"/>
    <n v="2738.68"/>
    <x v="0"/>
    <n v="0.11"/>
    <x v="0"/>
    <x v="0"/>
    <x v="5"/>
    <n v="246.31999999999971"/>
  </r>
  <r>
    <n v="1006"/>
    <x v="141"/>
    <x v="0"/>
    <x v="5"/>
    <n v="8109.33"/>
    <n v="11"/>
    <x v="1"/>
    <n v="4562.58"/>
    <n v="4925.17"/>
    <x v="1"/>
    <n v="0.23"/>
    <x v="0"/>
    <x v="1"/>
    <x v="0"/>
    <n v="362.59000000000015"/>
  </r>
  <r>
    <n v="1053"/>
    <x v="67"/>
    <x v="2"/>
    <x v="6"/>
    <n v="1554.53"/>
    <n v="39"/>
    <x v="0"/>
    <n v="4643.67"/>
    <n v="4829.5200000000004"/>
    <x v="0"/>
    <n v="0.17"/>
    <x v="1"/>
    <x v="0"/>
    <x v="4"/>
    <n v="185.85000000000036"/>
  </r>
  <r>
    <n v="1066"/>
    <x v="166"/>
    <x v="2"/>
    <x v="0"/>
    <n v="3492.19"/>
    <n v="4"/>
    <x v="0"/>
    <n v="868.83"/>
    <n v="1177.75"/>
    <x v="0"/>
    <n v="0.21"/>
    <x v="2"/>
    <x v="1"/>
    <x v="4"/>
    <n v="308.91999999999996"/>
  </r>
  <r>
    <n v="1077"/>
    <x v="318"/>
    <x v="4"/>
    <x v="1"/>
    <n v="8660.1200000000008"/>
    <n v="25"/>
    <x v="3"/>
    <n v="61.5"/>
    <n v="258.91999999999899"/>
    <x v="1"/>
    <n v="0.17"/>
    <x v="2"/>
    <x v="0"/>
    <x v="17"/>
    <n v="197.41999999999899"/>
  </r>
  <r>
    <n v="1043"/>
    <x v="111"/>
    <x v="3"/>
    <x v="2"/>
    <n v="1633.76"/>
    <n v="12"/>
    <x v="3"/>
    <n v="4920.46"/>
    <n v="5079.68"/>
    <x v="1"/>
    <n v="0.21"/>
    <x v="2"/>
    <x v="1"/>
    <x v="6"/>
    <n v="159.22000000000025"/>
  </r>
  <r>
    <n v="1075"/>
    <x v="219"/>
    <x v="1"/>
    <x v="3"/>
    <n v="919.09"/>
    <n v="26"/>
    <x v="3"/>
    <n v="4535.38"/>
    <n v="4557.5600000000004"/>
    <x v="1"/>
    <n v="0"/>
    <x v="2"/>
    <x v="0"/>
    <x v="13"/>
    <n v="22.180000000000291"/>
  </r>
  <r>
    <n v="1023"/>
    <x v="53"/>
    <x v="0"/>
    <x v="4"/>
    <n v="4896.93"/>
    <n v="38"/>
    <x v="2"/>
    <n v="324.45"/>
    <n v="336.37"/>
    <x v="1"/>
    <n v="0.28000000000000003"/>
    <x v="2"/>
    <x v="1"/>
    <x v="12"/>
    <n v="11.920000000000016"/>
  </r>
  <r>
    <n v="1055"/>
    <x v="15"/>
    <x v="1"/>
    <x v="5"/>
    <n v="3093.95"/>
    <n v="46"/>
    <x v="2"/>
    <n v="4173.5200000000004"/>
    <n v="4294.8500000000004"/>
    <x v="0"/>
    <n v="0.03"/>
    <x v="1"/>
    <x v="1"/>
    <x v="16"/>
    <n v="121.32999999999993"/>
  </r>
  <r>
    <n v="1080"/>
    <x v="314"/>
    <x v="1"/>
    <x v="6"/>
    <n v="5677.74"/>
    <n v="12"/>
    <x v="3"/>
    <n v="2316.13"/>
    <n v="2525.27"/>
    <x v="0"/>
    <n v="0.12"/>
    <x v="2"/>
    <x v="1"/>
    <x v="2"/>
    <n v="209.13999999999987"/>
  </r>
  <r>
    <n v="1095"/>
    <x v="313"/>
    <x v="3"/>
    <x v="0"/>
    <n v="8057.67"/>
    <n v="43"/>
    <x v="0"/>
    <n v="1331.86"/>
    <n v="1758.98"/>
    <x v="0"/>
    <n v="0.23"/>
    <x v="1"/>
    <x v="1"/>
    <x v="6"/>
    <n v="427.12000000000012"/>
  </r>
  <r>
    <n v="1075"/>
    <x v="334"/>
    <x v="1"/>
    <x v="1"/>
    <n v="1457.77"/>
    <n v="37"/>
    <x v="3"/>
    <n v="4399.8"/>
    <n v="4801.0600000000004"/>
    <x v="1"/>
    <n v="0.13"/>
    <x v="1"/>
    <x v="1"/>
    <x v="2"/>
    <n v="401.26000000000022"/>
  </r>
  <r>
    <n v="1016"/>
    <x v="168"/>
    <x v="1"/>
    <x v="2"/>
    <n v="5848.92"/>
    <n v="46"/>
    <x v="2"/>
    <n v="1023.5"/>
    <n v="1164.4100000000001"/>
    <x v="0"/>
    <n v="0.28000000000000003"/>
    <x v="2"/>
    <x v="1"/>
    <x v="13"/>
    <n v="140.91000000000008"/>
  </r>
  <r>
    <n v="1008"/>
    <x v="274"/>
    <x v="2"/>
    <x v="3"/>
    <n v="5104.54"/>
    <n v="24"/>
    <x v="0"/>
    <n v="4739.13"/>
    <n v="4868.95"/>
    <x v="1"/>
    <n v="0.14000000000000001"/>
    <x v="2"/>
    <x v="1"/>
    <x v="10"/>
    <n v="129.81999999999971"/>
  </r>
  <r>
    <n v="1004"/>
    <x v="43"/>
    <x v="3"/>
    <x v="4"/>
    <n v="1526.38"/>
    <n v="16"/>
    <x v="2"/>
    <n v="1067.83"/>
    <n v="1189.22"/>
    <x v="0"/>
    <n v="0.26"/>
    <x v="2"/>
    <x v="1"/>
    <x v="14"/>
    <n v="121.3900000000001"/>
  </r>
  <r>
    <n v="1004"/>
    <x v="196"/>
    <x v="4"/>
    <x v="5"/>
    <n v="6277.59"/>
    <n v="13"/>
    <x v="0"/>
    <n v="3087.73"/>
    <n v="3263.96"/>
    <x v="1"/>
    <n v="0.24"/>
    <x v="0"/>
    <x v="1"/>
    <x v="18"/>
    <n v="176.23000000000002"/>
  </r>
  <r>
    <n v="1056"/>
    <x v="197"/>
    <x v="0"/>
    <x v="6"/>
    <n v="2809.04"/>
    <n v="25"/>
    <x v="2"/>
    <n v="1154.28"/>
    <n v="1408.4"/>
    <x v="0"/>
    <n v="0.28999999999999998"/>
    <x v="1"/>
    <x v="1"/>
    <x v="0"/>
    <n v="254.12000000000012"/>
  </r>
  <r>
    <n v="1025"/>
    <x v="59"/>
    <x v="1"/>
    <x v="0"/>
    <n v="4929.5600000000004"/>
    <n v="4"/>
    <x v="0"/>
    <n v="2751.06"/>
    <n v="2976.0099999999902"/>
    <x v="0"/>
    <n v="0.28000000000000003"/>
    <x v="2"/>
    <x v="0"/>
    <x v="13"/>
    <n v="224.94999999999027"/>
  </r>
  <r>
    <n v="1067"/>
    <x v="330"/>
    <x v="0"/>
    <x v="1"/>
    <n v="914.5"/>
    <n v="11"/>
    <x v="0"/>
    <n v="3435.68"/>
    <n v="3552.6299999999901"/>
    <x v="1"/>
    <n v="0.27"/>
    <x v="0"/>
    <x v="1"/>
    <x v="0"/>
    <n v="116.94999999999027"/>
  </r>
  <r>
    <n v="1096"/>
    <x v="247"/>
    <x v="4"/>
    <x v="2"/>
    <n v="4649.88"/>
    <n v="32"/>
    <x v="0"/>
    <n v="991.63"/>
    <n v="1065.55"/>
    <x v="0"/>
    <n v="0.22"/>
    <x v="1"/>
    <x v="1"/>
    <x v="18"/>
    <n v="73.919999999999959"/>
  </r>
  <r>
    <n v="1067"/>
    <x v="114"/>
    <x v="0"/>
    <x v="3"/>
    <n v="3133.99"/>
    <n v="49"/>
    <x v="0"/>
    <n v="2628.38"/>
    <n v="2644.54"/>
    <x v="0"/>
    <n v="0.11"/>
    <x v="0"/>
    <x v="0"/>
    <x v="0"/>
    <n v="16.159999999999854"/>
  </r>
  <r>
    <n v="1027"/>
    <x v="153"/>
    <x v="4"/>
    <x v="4"/>
    <n v="8241.57"/>
    <n v="7"/>
    <x v="1"/>
    <n v="2371.85"/>
    <n v="2457.29"/>
    <x v="1"/>
    <n v="0.03"/>
    <x v="0"/>
    <x v="1"/>
    <x v="18"/>
    <n v="85.440000000000055"/>
  </r>
  <r>
    <n v="1093"/>
    <x v="82"/>
    <x v="2"/>
    <x v="5"/>
    <n v="664.09"/>
    <n v="46"/>
    <x v="2"/>
    <n v="401.64"/>
    <n v="757.26"/>
    <x v="1"/>
    <n v="0.21"/>
    <x v="2"/>
    <x v="1"/>
    <x v="19"/>
    <n v="355.62"/>
  </r>
  <r>
    <n v="1032"/>
    <x v="143"/>
    <x v="1"/>
    <x v="6"/>
    <n v="4244.21"/>
    <n v="11"/>
    <x v="2"/>
    <n v="4100.62"/>
    <n v="4230"/>
    <x v="1"/>
    <n v="0.28999999999999998"/>
    <x v="1"/>
    <x v="0"/>
    <x v="2"/>
    <n v="129.38000000000011"/>
  </r>
  <r>
    <n v="1050"/>
    <x v="335"/>
    <x v="4"/>
    <x v="0"/>
    <n v="4638.47"/>
    <n v="28"/>
    <x v="1"/>
    <n v="1711.63"/>
    <n v="1951.24"/>
    <x v="1"/>
    <n v="0.22"/>
    <x v="0"/>
    <x v="0"/>
    <x v="15"/>
    <n v="239.6099999999999"/>
  </r>
  <r>
    <n v="1061"/>
    <x v="127"/>
    <x v="0"/>
    <x v="1"/>
    <n v="7277.56"/>
    <n v="41"/>
    <x v="0"/>
    <n v="2894.18"/>
    <n v="3193.92"/>
    <x v="1"/>
    <n v="0.28000000000000003"/>
    <x v="1"/>
    <x v="1"/>
    <x v="3"/>
    <n v="299.74000000000024"/>
  </r>
  <r>
    <n v="1051"/>
    <x v="231"/>
    <x v="1"/>
    <x v="2"/>
    <n v="5785.45"/>
    <n v="23"/>
    <x v="0"/>
    <n v="2598.1799999999998"/>
    <n v="3042.73"/>
    <x v="0"/>
    <n v="0.24"/>
    <x v="2"/>
    <x v="0"/>
    <x v="2"/>
    <n v="444.55000000000018"/>
  </r>
  <r>
    <n v="1019"/>
    <x v="291"/>
    <x v="2"/>
    <x v="3"/>
    <n v="6705.4"/>
    <n v="45"/>
    <x v="2"/>
    <n v="2590.64"/>
    <n v="3036.18"/>
    <x v="1"/>
    <n v="0.05"/>
    <x v="1"/>
    <x v="1"/>
    <x v="5"/>
    <n v="445.53999999999996"/>
  </r>
  <r>
    <n v="1021"/>
    <x v="260"/>
    <x v="1"/>
    <x v="4"/>
    <n v="7792.79"/>
    <n v="23"/>
    <x v="1"/>
    <n v="580.75"/>
    <n v="956.16"/>
    <x v="0"/>
    <n v="7.0000000000000007E-2"/>
    <x v="0"/>
    <x v="1"/>
    <x v="2"/>
    <n v="375.40999999999997"/>
  </r>
  <r>
    <n v="1005"/>
    <x v="197"/>
    <x v="4"/>
    <x v="5"/>
    <n v="8635.81"/>
    <n v="28"/>
    <x v="0"/>
    <n v="2146.2399999999998"/>
    <n v="2173.4699999999998"/>
    <x v="0"/>
    <n v="0.1"/>
    <x v="0"/>
    <x v="1"/>
    <x v="9"/>
    <n v="27.230000000000018"/>
  </r>
  <r>
    <n v="1082"/>
    <x v="34"/>
    <x v="2"/>
    <x v="6"/>
    <n v="3207.37"/>
    <n v="43"/>
    <x v="0"/>
    <n v="2289.2199999999998"/>
    <n v="2581"/>
    <x v="1"/>
    <n v="0.05"/>
    <x v="1"/>
    <x v="0"/>
    <x v="19"/>
    <n v="291.7800000000002"/>
  </r>
  <r>
    <n v="1092"/>
    <x v="241"/>
    <x v="0"/>
    <x v="0"/>
    <n v="5426.42"/>
    <n v="47"/>
    <x v="0"/>
    <n v="3681.53"/>
    <n v="4076.96"/>
    <x v="0"/>
    <n v="0.17"/>
    <x v="0"/>
    <x v="1"/>
    <x v="12"/>
    <n v="395.42999999999984"/>
  </r>
  <r>
    <n v="1042"/>
    <x v="322"/>
    <x v="2"/>
    <x v="1"/>
    <n v="8417.07"/>
    <n v="26"/>
    <x v="3"/>
    <n v="4208.09"/>
    <n v="4226.5600000000004"/>
    <x v="0"/>
    <n v="0.28999999999999998"/>
    <x v="0"/>
    <x v="1"/>
    <x v="5"/>
    <n v="18.470000000000255"/>
  </r>
  <r>
    <n v="1061"/>
    <x v="2"/>
    <x v="2"/>
    <x v="2"/>
    <n v="9895.57"/>
    <n v="25"/>
    <x v="1"/>
    <n v="2747.66"/>
    <n v="3027.0099999999902"/>
    <x v="1"/>
    <n v="0.23"/>
    <x v="0"/>
    <x v="0"/>
    <x v="10"/>
    <n v="279.34999999999036"/>
  </r>
  <r>
    <n v="1022"/>
    <x v="90"/>
    <x v="3"/>
    <x v="3"/>
    <n v="8906.24"/>
    <n v="29"/>
    <x v="0"/>
    <n v="479.58"/>
    <n v="909.88"/>
    <x v="0"/>
    <n v="0.13"/>
    <x v="2"/>
    <x v="1"/>
    <x v="8"/>
    <n v="430.3"/>
  </r>
  <r>
    <n v="1021"/>
    <x v="68"/>
    <x v="2"/>
    <x v="4"/>
    <n v="3777.53"/>
    <n v="19"/>
    <x v="3"/>
    <n v="1222.4000000000001"/>
    <n v="1464.71"/>
    <x v="1"/>
    <n v="0"/>
    <x v="2"/>
    <x v="1"/>
    <x v="19"/>
    <n v="242.30999999999995"/>
  </r>
  <r>
    <n v="1070"/>
    <x v="336"/>
    <x v="2"/>
    <x v="5"/>
    <n v="2032.15"/>
    <n v="33"/>
    <x v="1"/>
    <n v="866.42"/>
    <n v="878.43"/>
    <x v="1"/>
    <n v="0.09"/>
    <x v="0"/>
    <x v="1"/>
    <x v="10"/>
    <n v="12.009999999999991"/>
  </r>
  <r>
    <n v="1001"/>
    <x v="24"/>
    <x v="1"/>
    <x v="6"/>
    <n v="4944.99"/>
    <n v="36"/>
    <x v="0"/>
    <n v="666.84"/>
    <n v="682.24"/>
    <x v="1"/>
    <n v="0.16"/>
    <x v="1"/>
    <x v="1"/>
    <x v="11"/>
    <n v="15.399999999999977"/>
  </r>
  <r>
    <n v="1005"/>
    <x v="76"/>
    <x v="0"/>
    <x v="0"/>
    <n v="7442.25"/>
    <n v="14"/>
    <x v="2"/>
    <n v="1861.2"/>
    <n v="2075.35"/>
    <x v="0"/>
    <n v="0.1"/>
    <x v="2"/>
    <x v="1"/>
    <x v="1"/>
    <n v="214.14999999999986"/>
  </r>
  <r>
    <n v="1012"/>
    <x v="24"/>
    <x v="1"/>
    <x v="1"/>
    <n v="4976.43"/>
    <n v="14"/>
    <x v="3"/>
    <n v="1185.5"/>
    <n v="1271.45"/>
    <x v="0"/>
    <n v="0.03"/>
    <x v="1"/>
    <x v="1"/>
    <x v="11"/>
    <n v="85.950000000000045"/>
  </r>
  <r>
    <n v="1090"/>
    <x v="1"/>
    <x v="1"/>
    <x v="2"/>
    <n v="4883.49"/>
    <n v="35"/>
    <x v="3"/>
    <n v="1130.5999999999999"/>
    <n v="1466.1799999999901"/>
    <x v="0"/>
    <n v="0.13"/>
    <x v="0"/>
    <x v="0"/>
    <x v="13"/>
    <n v="335.57999999999015"/>
  </r>
  <r>
    <n v="1046"/>
    <x v="175"/>
    <x v="4"/>
    <x v="3"/>
    <n v="8398.48"/>
    <n v="30"/>
    <x v="0"/>
    <n v="320.73"/>
    <n v="678.04"/>
    <x v="0"/>
    <n v="0.08"/>
    <x v="0"/>
    <x v="1"/>
    <x v="15"/>
    <n v="357.30999999999995"/>
  </r>
  <r>
    <n v="1034"/>
    <x v="212"/>
    <x v="1"/>
    <x v="4"/>
    <n v="3677.9"/>
    <n v="28"/>
    <x v="0"/>
    <n v="137.47"/>
    <n v="234.63"/>
    <x v="1"/>
    <n v="0.27"/>
    <x v="1"/>
    <x v="1"/>
    <x v="13"/>
    <n v="97.16"/>
  </r>
  <r>
    <n v="1049"/>
    <x v="76"/>
    <x v="3"/>
    <x v="5"/>
    <n v="8611.9699999999993"/>
    <n v="17"/>
    <x v="3"/>
    <n v="558.70000000000005"/>
    <n v="1004.08"/>
    <x v="0"/>
    <n v="0.03"/>
    <x v="2"/>
    <x v="0"/>
    <x v="14"/>
    <n v="445.38"/>
  </r>
  <r>
    <n v="1078"/>
    <x v="328"/>
    <x v="3"/>
    <x v="6"/>
    <n v="4127.37"/>
    <n v="3"/>
    <x v="2"/>
    <n v="902.38"/>
    <n v="1128.9100000000001"/>
    <x v="1"/>
    <n v="0.01"/>
    <x v="1"/>
    <x v="1"/>
    <x v="7"/>
    <n v="226.53000000000009"/>
  </r>
  <r>
    <n v="1090"/>
    <x v="310"/>
    <x v="4"/>
    <x v="0"/>
    <n v="3349.51"/>
    <n v="16"/>
    <x v="2"/>
    <n v="2183.37"/>
    <n v="2263.3599999999901"/>
    <x v="0"/>
    <n v="0"/>
    <x v="1"/>
    <x v="1"/>
    <x v="15"/>
    <n v="79.989999999990232"/>
  </r>
  <r>
    <n v="1045"/>
    <x v="320"/>
    <x v="0"/>
    <x v="1"/>
    <n v="4594.5"/>
    <n v="46"/>
    <x v="1"/>
    <n v="2577.08"/>
    <n v="2961.56"/>
    <x v="0"/>
    <n v="0.1"/>
    <x v="0"/>
    <x v="0"/>
    <x v="12"/>
    <n v="384.48"/>
  </r>
  <r>
    <n v="1027"/>
    <x v="285"/>
    <x v="0"/>
    <x v="2"/>
    <n v="7648.22"/>
    <n v="30"/>
    <x v="0"/>
    <n v="745.93"/>
    <n v="1143.02"/>
    <x v="0"/>
    <n v="0.2"/>
    <x v="2"/>
    <x v="0"/>
    <x v="12"/>
    <n v="397.09000000000003"/>
  </r>
  <r>
    <n v="1073"/>
    <x v="152"/>
    <x v="1"/>
    <x v="3"/>
    <n v="1347.42"/>
    <n v="29"/>
    <x v="2"/>
    <n v="2152.6799999999998"/>
    <n v="2475.9299999999998"/>
    <x v="0"/>
    <n v="0.22"/>
    <x v="1"/>
    <x v="0"/>
    <x v="11"/>
    <n v="323.25"/>
  </r>
  <r>
    <n v="1026"/>
    <x v="158"/>
    <x v="1"/>
    <x v="4"/>
    <n v="2044.55"/>
    <n v="45"/>
    <x v="1"/>
    <n v="1741.66"/>
    <n v="2169.86"/>
    <x v="0"/>
    <n v="0.14000000000000001"/>
    <x v="2"/>
    <x v="0"/>
    <x v="16"/>
    <n v="428.20000000000005"/>
  </r>
  <r>
    <n v="1047"/>
    <x v="217"/>
    <x v="1"/>
    <x v="5"/>
    <n v="9519.2999999999993"/>
    <n v="15"/>
    <x v="2"/>
    <n v="957.95"/>
    <n v="1329.26"/>
    <x v="1"/>
    <n v="0.21"/>
    <x v="0"/>
    <x v="0"/>
    <x v="2"/>
    <n v="371.30999999999995"/>
  </r>
  <r>
    <n v="1086"/>
    <x v="242"/>
    <x v="0"/>
    <x v="6"/>
    <n v="1837.37"/>
    <n v="46"/>
    <x v="0"/>
    <n v="83.86"/>
    <n v="526.14"/>
    <x v="0"/>
    <n v="0.11"/>
    <x v="2"/>
    <x v="0"/>
    <x v="1"/>
    <n v="442.28"/>
  </r>
  <r>
    <n v="1056"/>
    <x v="107"/>
    <x v="2"/>
    <x v="0"/>
    <n v="5720.5"/>
    <n v="25"/>
    <x v="1"/>
    <n v="2361.7399999999998"/>
    <n v="2584.35"/>
    <x v="0"/>
    <n v="0.2"/>
    <x v="0"/>
    <x v="0"/>
    <x v="5"/>
    <n v="222.61000000000013"/>
  </r>
  <r>
    <n v="1094"/>
    <x v="267"/>
    <x v="3"/>
    <x v="1"/>
    <n v="5835.21"/>
    <n v="38"/>
    <x v="1"/>
    <n v="3443.98"/>
    <n v="3820.3"/>
    <x v="0"/>
    <n v="0.01"/>
    <x v="2"/>
    <x v="1"/>
    <x v="8"/>
    <n v="376.32000000000016"/>
  </r>
  <r>
    <n v="1063"/>
    <x v="202"/>
    <x v="2"/>
    <x v="2"/>
    <n v="4947.28"/>
    <n v="42"/>
    <x v="1"/>
    <n v="1170.07"/>
    <n v="1669.94999999999"/>
    <x v="0"/>
    <n v="0.12"/>
    <x v="1"/>
    <x v="1"/>
    <x v="10"/>
    <n v="499.8799999999901"/>
  </r>
  <r>
    <n v="1048"/>
    <x v="267"/>
    <x v="2"/>
    <x v="3"/>
    <n v="6482.98"/>
    <n v="47"/>
    <x v="2"/>
    <n v="702.44"/>
    <n v="1067.6600000000001"/>
    <x v="1"/>
    <n v="0.24"/>
    <x v="0"/>
    <x v="1"/>
    <x v="4"/>
    <n v="365.22"/>
  </r>
  <r>
    <n v="1061"/>
    <x v="170"/>
    <x v="0"/>
    <x v="4"/>
    <n v="2375.2800000000002"/>
    <n v="38"/>
    <x v="0"/>
    <n v="4440.8599999999997"/>
    <n v="4506.8099999999904"/>
    <x v="0"/>
    <n v="0.24"/>
    <x v="1"/>
    <x v="0"/>
    <x v="12"/>
    <n v="65.949999999990723"/>
  </r>
  <r>
    <n v="1081"/>
    <x v="275"/>
    <x v="2"/>
    <x v="5"/>
    <n v="5571.36"/>
    <n v="23"/>
    <x v="1"/>
    <n v="1411.37"/>
    <n v="1675.35"/>
    <x v="1"/>
    <n v="0.21"/>
    <x v="0"/>
    <x v="1"/>
    <x v="19"/>
    <n v="263.98"/>
  </r>
  <r>
    <n v="1026"/>
    <x v="30"/>
    <x v="4"/>
    <x v="6"/>
    <n v="3784.52"/>
    <n v="25"/>
    <x v="3"/>
    <n v="1156.8800000000001"/>
    <n v="1454.68"/>
    <x v="0"/>
    <n v="0.06"/>
    <x v="2"/>
    <x v="0"/>
    <x v="18"/>
    <n v="297.79999999999995"/>
  </r>
  <r>
    <n v="1036"/>
    <x v="247"/>
    <x v="1"/>
    <x v="0"/>
    <n v="6650.51"/>
    <n v="42"/>
    <x v="0"/>
    <n v="4292.63"/>
    <n v="4387.99"/>
    <x v="1"/>
    <n v="7.0000000000000007E-2"/>
    <x v="2"/>
    <x v="1"/>
    <x v="11"/>
    <n v="95.359999999999673"/>
  </r>
  <r>
    <n v="1001"/>
    <x v="216"/>
    <x v="4"/>
    <x v="1"/>
    <n v="1498.11"/>
    <n v="7"/>
    <x v="3"/>
    <n v="4094.68"/>
    <n v="4576.5"/>
    <x v="1"/>
    <n v="0.3"/>
    <x v="0"/>
    <x v="1"/>
    <x v="9"/>
    <n v="481.82000000000016"/>
  </r>
  <r>
    <n v="1008"/>
    <x v="164"/>
    <x v="3"/>
    <x v="2"/>
    <n v="5751.69"/>
    <n v="22"/>
    <x v="3"/>
    <n v="2269.3200000000002"/>
    <n v="2365.35"/>
    <x v="1"/>
    <n v="0.03"/>
    <x v="0"/>
    <x v="1"/>
    <x v="8"/>
    <n v="96.029999999999745"/>
  </r>
  <r>
    <n v="1099"/>
    <x v="337"/>
    <x v="1"/>
    <x v="3"/>
    <n v="1934.18"/>
    <n v="17"/>
    <x v="1"/>
    <n v="2471.73"/>
    <n v="2568.73"/>
    <x v="1"/>
    <n v="0.05"/>
    <x v="0"/>
    <x v="1"/>
    <x v="13"/>
    <n v="97"/>
  </r>
  <r>
    <n v="1052"/>
    <x v="64"/>
    <x v="2"/>
    <x v="4"/>
    <n v="2858.57"/>
    <n v="18"/>
    <x v="1"/>
    <n v="1127.8599999999999"/>
    <n v="1586.29"/>
    <x v="1"/>
    <n v="0.04"/>
    <x v="2"/>
    <x v="0"/>
    <x v="5"/>
    <n v="458.43000000000006"/>
  </r>
  <r>
    <n v="1079"/>
    <x v="46"/>
    <x v="3"/>
    <x v="5"/>
    <n v="2265.23"/>
    <n v="49"/>
    <x v="2"/>
    <n v="437.59"/>
    <n v="675.54"/>
    <x v="0"/>
    <n v="0.1"/>
    <x v="0"/>
    <x v="0"/>
    <x v="14"/>
    <n v="237.95"/>
  </r>
  <r>
    <n v="1047"/>
    <x v="338"/>
    <x v="1"/>
    <x v="6"/>
    <n v="1910.09"/>
    <n v="41"/>
    <x v="2"/>
    <n v="2888.49"/>
    <n v="2929.45"/>
    <x v="1"/>
    <n v="0.06"/>
    <x v="0"/>
    <x v="1"/>
    <x v="11"/>
    <n v="40.960000000000036"/>
  </r>
  <r>
    <n v="1056"/>
    <x v="223"/>
    <x v="2"/>
    <x v="0"/>
    <n v="8274.5400000000009"/>
    <n v="10"/>
    <x v="2"/>
    <n v="536.80999999999995"/>
    <n v="839.92"/>
    <x v="0"/>
    <n v="0.15"/>
    <x v="1"/>
    <x v="0"/>
    <x v="19"/>
    <n v="303.11"/>
  </r>
  <r>
    <n v="1086"/>
    <x v="117"/>
    <x v="4"/>
    <x v="1"/>
    <n v="2928.5"/>
    <n v="10"/>
    <x v="0"/>
    <n v="2273.91"/>
    <n v="2578.7999999999902"/>
    <x v="1"/>
    <n v="0.14000000000000001"/>
    <x v="0"/>
    <x v="0"/>
    <x v="9"/>
    <n v="304.88999999999032"/>
  </r>
  <r>
    <n v="1014"/>
    <x v="276"/>
    <x v="1"/>
    <x v="2"/>
    <n v="9278.5300000000007"/>
    <n v="7"/>
    <x v="2"/>
    <n v="4705.46"/>
    <n v="4747.07"/>
    <x v="1"/>
    <n v="0.27"/>
    <x v="1"/>
    <x v="1"/>
    <x v="16"/>
    <n v="41.609999999999673"/>
  </r>
  <r>
    <n v="1090"/>
    <x v="108"/>
    <x v="2"/>
    <x v="3"/>
    <n v="9702.27"/>
    <n v="48"/>
    <x v="3"/>
    <n v="4766.53"/>
    <n v="5253.07"/>
    <x v="0"/>
    <n v="0.01"/>
    <x v="1"/>
    <x v="0"/>
    <x v="10"/>
    <n v="486.53999999999996"/>
  </r>
  <r>
    <n v="1028"/>
    <x v="252"/>
    <x v="4"/>
    <x v="4"/>
    <n v="5755.48"/>
    <n v="38"/>
    <x v="2"/>
    <n v="1234.69"/>
    <n v="1511.26"/>
    <x v="1"/>
    <n v="0.1"/>
    <x v="1"/>
    <x v="0"/>
    <x v="15"/>
    <n v="276.56999999999994"/>
  </r>
  <r>
    <n v="1087"/>
    <x v="47"/>
    <x v="3"/>
    <x v="5"/>
    <n v="1515.71"/>
    <n v="27"/>
    <x v="1"/>
    <n v="3139.36"/>
    <n v="3423.66"/>
    <x v="1"/>
    <n v="0.18"/>
    <x v="2"/>
    <x v="0"/>
    <x v="7"/>
    <n v="284.29999999999973"/>
  </r>
  <r>
    <n v="1078"/>
    <x v="218"/>
    <x v="3"/>
    <x v="6"/>
    <n v="3808.03"/>
    <n v="33"/>
    <x v="2"/>
    <n v="2396.6799999999998"/>
    <n v="2661.54"/>
    <x v="1"/>
    <n v="0.18"/>
    <x v="1"/>
    <x v="0"/>
    <x v="8"/>
    <n v="264.86000000000013"/>
  </r>
  <r>
    <n v="1088"/>
    <x v="187"/>
    <x v="3"/>
    <x v="0"/>
    <n v="7997.55"/>
    <n v="1"/>
    <x v="0"/>
    <n v="4384.6400000000003"/>
    <n v="4693.8999999999996"/>
    <x v="1"/>
    <n v="0.14000000000000001"/>
    <x v="0"/>
    <x v="1"/>
    <x v="14"/>
    <n v="309.25999999999931"/>
  </r>
  <r>
    <n v="1002"/>
    <x v="16"/>
    <x v="3"/>
    <x v="1"/>
    <n v="3737.17"/>
    <n v="44"/>
    <x v="0"/>
    <n v="1393.58"/>
    <n v="1533.09"/>
    <x v="0"/>
    <n v="0.24"/>
    <x v="2"/>
    <x v="1"/>
    <x v="7"/>
    <n v="139.51"/>
  </r>
  <r>
    <n v="1026"/>
    <x v="299"/>
    <x v="0"/>
    <x v="2"/>
    <n v="961.47"/>
    <n v="34"/>
    <x v="3"/>
    <n v="68.33"/>
    <n v="219.07999999999899"/>
    <x v="1"/>
    <n v="0.02"/>
    <x v="2"/>
    <x v="0"/>
    <x v="1"/>
    <n v="150.74999999999898"/>
  </r>
  <r>
    <n v="1014"/>
    <x v="317"/>
    <x v="1"/>
    <x v="3"/>
    <n v="5612.17"/>
    <n v="4"/>
    <x v="0"/>
    <n v="854.68"/>
    <n v="1115.24"/>
    <x v="1"/>
    <n v="0.24"/>
    <x v="2"/>
    <x v="1"/>
    <x v="16"/>
    <n v="260.56000000000006"/>
  </r>
  <r>
    <n v="1059"/>
    <x v="258"/>
    <x v="1"/>
    <x v="4"/>
    <n v="8466.7000000000007"/>
    <n v="17"/>
    <x v="2"/>
    <n v="1780.14"/>
    <n v="2185.42"/>
    <x v="0"/>
    <n v="0.15"/>
    <x v="2"/>
    <x v="1"/>
    <x v="2"/>
    <n v="405.28"/>
  </r>
  <r>
    <n v="1056"/>
    <x v="92"/>
    <x v="0"/>
    <x v="5"/>
    <n v="7979.67"/>
    <n v="4"/>
    <x v="1"/>
    <n v="1612.82"/>
    <n v="1647.25"/>
    <x v="0"/>
    <n v="0.04"/>
    <x v="2"/>
    <x v="1"/>
    <x v="12"/>
    <n v="34.430000000000064"/>
  </r>
  <r>
    <n v="1007"/>
    <x v="229"/>
    <x v="2"/>
    <x v="6"/>
    <n v="1833.72"/>
    <n v="43"/>
    <x v="0"/>
    <n v="3967.25"/>
    <n v="4272.92"/>
    <x v="1"/>
    <n v="0.27"/>
    <x v="2"/>
    <x v="0"/>
    <x v="4"/>
    <n v="305.67000000000007"/>
  </r>
  <r>
    <n v="1003"/>
    <x v="198"/>
    <x v="2"/>
    <x v="0"/>
    <n v="6760.37"/>
    <n v="26"/>
    <x v="3"/>
    <n v="3418.78"/>
    <n v="3824.1"/>
    <x v="1"/>
    <n v="0.19"/>
    <x v="2"/>
    <x v="0"/>
    <x v="19"/>
    <n v="405.31999999999971"/>
  </r>
  <r>
    <n v="1023"/>
    <x v="166"/>
    <x v="3"/>
    <x v="1"/>
    <n v="2282.9899999999998"/>
    <n v="4"/>
    <x v="2"/>
    <n v="1532.8"/>
    <n v="1619.69"/>
    <x v="0"/>
    <n v="0.05"/>
    <x v="1"/>
    <x v="1"/>
    <x v="7"/>
    <n v="86.8900000000001"/>
  </r>
  <r>
    <n v="1018"/>
    <x v="30"/>
    <x v="4"/>
    <x v="2"/>
    <n v="2260.25"/>
    <n v="1"/>
    <x v="3"/>
    <n v="2315.83"/>
    <n v="2333.19"/>
    <x v="1"/>
    <n v="0.01"/>
    <x v="0"/>
    <x v="1"/>
    <x v="18"/>
    <n v="17.360000000000127"/>
  </r>
  <r>
    <n v="1038"/>
    <x v="86"/>
    <x v="2"/>
    <x v="3"/>
    <n v="8753.31"/>
    <n v="7"/>
    <x v="0"/>
    <n v="523.02"/>
    <n v="686.25"/>
    <x v="0"/>
    <n v="0.04"/>
    <x v="0"/>
    <x v="0"/>
    <x v="19"/>
    <n v="163.23000000000002"/>
  </r>
  <r>
    <n v="1099"/>
    <x v="329"/>
    <x v="4"/>
    <x v="4"/>
    <n v="2571.7199999999998"/>
    <n v="30"/>
    <x v="0"/>
    <n v="4495.82"/>
    <n v="4794.0099999999902"/>
    <x v="1"/>
    <n v="0.18"/>
    <x v="1"/>
    <x v="1"/>
    <x v="15"/>
    <n v="298.1899999999905"/>
  </r>
  <r>
    <n v="1015"/>
    <x v="339"/>
    <x v="1"/>
    <x v="5"/>
    <n v="2706.15"/>
    <n v="9"/>
    <x v="3"/>
    <n v="4680.3500000000004"/>
    <n v="4758.1099999999997"/>
    <x v="0"/>
    <n v="0.05"/>
    <x v="1"/>
    <x v="0"/>
    <x v="11"/>
    <n v="77.759999999999309"/>
  </r>
  <r>
    <n v="1064"/>
    <x v="111"/>
    <x v="4"/>
    <x v="6"/>
    <n v="106.47"/>
    <n v="35"/>
    <x v="2"/>
    <n v="4900.03"/>
    <n v="5118.83"/>
    <x v="0"/>
    <n v="7.0000000000000007E-2"/>
    <x v="2"/>
    <x v="1"/>
    <x v="17"/>
    <n v="218.80000000000018"/>
  </r>
  <r>
    <n v="1089"/>
    <x v="136"/>
    <x v="1"/>
    <x v="0"/>
    <n v="8719.6200000000008"/>
    <n v="8"/>
    <x v="0"/>
    <n v="4349.34"/>
    <n v="4629.9799999999996"/>
    <x v="0"/>
    <n v="0.01"/>
    <x v="2"/>
    <x v="0"/>
    <x v="13"/>
    <n v="280.63999999999942"/>
  </r>
  <r>
    <n v="1028"/>
    <x v="82"/>
    <x v="0"/>
    <x v="1"/>
    <n v="7946.69"/>
    <n v="24"/>
    <x v="1"/>
    <n v="911.11"/>
    <n v="1214.56"/>
    <x v="1"/>
    <n v="0.22"/>
    <x v="1"/>
    <x v="0"/>
    <x v="12"/>
    <n v="303.44999999999993"/>
  </r>
  <r>
    <n v="1074"/>
    <x v="22"/>
    <x v="0"/>
    <x v="2"/>
    <n v="6310.56"/>
    <n v="19"/>
    <x v="0"/>
    <n v="278.67"/>
    <n v="423.13"/>
    <x v="1"/>
    <n v="0.24"/>
    <x v="2"/>
    <x v="0"/>
    <x v="0"/>
    <n v="144.45999999999998"/>
  </r>
  <r>
    <n v="1039"/>
    <x v="97"/>
    <x v="3"/>
    <x v="3"/>
    <n v="7527.63"/>
    <n v="36"/>
    <x v="2"/>
    <n v="2919"/>
    <n v="3125.01"/>
    <x v="1"/>
    <n v="0.24"/>
    <x v="0"/>
    <x v="0"/>
    <x v="8"/>
    <n v="206.01000000000022"/>
  </r>
  <r>
    <n v="1057"/>
    <x v="130"/>
    <x v="2"/>
    <x v="4"/>
    <n v="1605.28"/>
    <n v="43"/>
    <x v="0"/>
    <n v="4567.3900000000003"/>
    <n v="4958.78"/>
    <x v="1"/>
    <n v="0.04"/>
    <x v="0"/>
    <x v="1"/>
    <x v="4"/>
    <n v="391.38999999999942"/>
  </r>
  <r>
    <n v="1017"/>
    <x v="332"/>
    <x v="3"/>
    <x v="5"/>
    <n v="4637.3999999999996"/>
    <n v="27"/>
    <x v="3"/>
    <n v="927.89"/>
    <n v="1399.09"/>
    <x v="0"/>
    <n v="0.27"/>
    <x v="2"/>
    <x v="0"/>
    <x v="7"/>
    <n v="471.19999999999993"/>
  </r>
  <r>
    <n v="1086"/>
    <x v="62"/>
    <x v="1"/>
    <x v="6"/>
    <n v="3577.07"/>
    <n v="32"/>
    <x v="0"/>
    <n v="84.86"/>
    <n v="517.17999999999995"/>
    <x v="0"/>
    <n v="0.2"/>
    <x v="2"/>
    <x v="1"/>
    <x v="2"/>
    <n v="432.31999999999994"/>
  </r>
  <r>
    <n v="1090"/>
    <x v="21"/>
    <x v="3"/>
    <x v="0"/>
    <n v="1028.3900000000001"/>
    <n v="14"/>
    <x v="0"/>
    <n v="4037.21"/>
    <n v="4323.71"/>
    <x v="0"/>
    <n v="0.27"/>
    <x v="2"/>
    <x v="0"/>
    <x v="7"/>
    <n v="286.5"/>
  </r>
  <r>
    <n v="1044"/>
    <x v="36"/>
    <x v="4"/>
    <x v="1"/>
    <n v="4912.6899999999996"/>
    <n v="18"/>
    <x v="2"/>
    <n v="430.14"/>
    <n v="641.17999999999995"/>
    <x v="1"/>
    <n v="0.13"/>
    <x v="0"/>
    <x v="0"/>
    <x v="15"/>
    <n v="211.03999999999996"/>
  </r>
  <r>
    <n v="1025"/>
    <x v="174"/>
    <x v="1"/>
    <x v="2"/>
    <n v="9215.32"/>
    <n v="28"/>
    <x v="3"/>
    <n v="2097.84"/>
    <n v="2270.9899999999998"/>
    <x v="1"/>
    <n v="0.13"/>
    <x v="2"/>
    <x v="1"/>
    <x v="13"/>
    <n v="173.14999999999964"/>
  </r>
  <r>
    <n v="1017"/>
    <x v="54"/>
    <x v="0"/>
    <x v="3"/>
    <n v="496.59"/>
    <n v="29"/>
    <x v="2"/>
    <n v="3410.49"/>
    <n v="3481.72"/>
    <x v="1"/>
    <n v="0.24"/>
    <x v="1"/>
    <x v="1"/>
    <x v="12"/>
    <n v="71.230000000000018"/>
  </r>
  <r>
    <n v="1013"/>
    <x v="26"/>
    <x v="2"/>
    <x v="4"/>
    <n v="2985.46"/>
    <n v="16"/>
    <x v="0"/>
    <n v="1222.1500000000001"/>
    <n v="1284.3599999999999"/>
    <x v="0"/>
    <n v="0.03"/>
    <x v="2"/>
    <x v="1"/>
    <x v="4"/>
    <n v="62.209999999999809"/>
  </r>
  <r>
    <n v="1084"/>
    <x v="331"/>
    <x v="1"/>
    <x v="5"/>
    <n v="2154.66"/>
    <n v="35"/>
    <x v="1"/>
    <n v="465.61"/>
    <n v="812.91"/>
    <x v="1"/>
    <n v="0.16"/>
    <x v="1"/>
    <x v="0"/>
    <x v="13"/>
    <n v="347.29999999999995"/>
  </r>
  <r>
    <n v="1025"/>
    <x v="177"/>
    <x v="1"/>
    <x v="6"/>
    <n v="2457.65"/>
    <n v="47"/>
    <x v="0"/>
    <n v="3861.61"/>
    <n v="3998.91"/>
    <x v="1"/>
    <n v="0.25"/>
    <x v="2"/>
    <x v="0"/>
    <x v="11"/>
    <n v="137.29999999999973"/>
  </r>
  <r>
    <n v="1068"/>
    <x v="209"/>
    <x v="4"/>
    <x v="0"/>
    <n v="9093.5"/>
    <n v="31"/>
    <x v="2"/>
    <n v="3169.37"/>
    <n v="3304.15"/>
    <x v="0"/>
    <n v="0.25"/>
    <x v="2"/>
    <x v="1"/>
    <x v="9"/>
    <n v="134.7800000000002"/>
  </r>
  <r>
    <n v="1010"/>
    <x v="297"/>
    <x v="2"/>
    <x v="1"/>
    <n v="4733.88"/>
    <n v="4"/>
    <x v="1"/>
    <n v="4943.03"/>
    <n v="5442.15"/>
    <x v="0"/>
    <n v="0.28999999999999998"/>
    <x v="0"/>
    <x v="0"/>
    <x v="19"/>
    <n v="499.11999999999989"/>
  </r>
  <r>
    <n v="1067"/>
    <x v="259"/>
    <x v="0"/>
    <x v="2"/>
    <n v="4716.3599999999997"/>
    <n v="37"/>
    <x v="2"/>
    <n v="1754.32"/>
    <n v="1856.3999999999901"/>
    <x v="1"/>
    <n v="0.21"/>
    <x v="1"/>
    <x v="1"/>
    <x v="0"/>
    <n v="102.07999999999015"/>
  </r>
  <r>
    <n v="1018"/>
    <x v="167"/>
    <x v="1"/>
    <x v="3"/>
    <n v="7629.7"/>
    <n v="17"/>
    <x v="2"/>
    <n v="355.72"/>
    <n v="438.27"/>
    <x v="0"/>
    <n v="0.06"/>
    <x v="1"/>
    <x v="0"/>
    <x v="2"/>
    <n v="82.549999999999955"/>
  </r>
  <r>
    <n v="1100"/>
    <x v="266"/>
    <x v="1"/>
    <x v="4"/>
    <n v="1629.47"/>
    <n v="39"/>
    <x v="3"/>
    <n v="3685.03"/>
    <n v="3743.39"/>
    <x v="1"/>
    <n v="0.01"/>
    <x v="1"/>
    <x v="0"/>
    <x v="13"/>
    <n v="58.359999999999673"/>
  </r>
  <r>
    <n v="1086"/>
    <x v="132"/>
    <x v="4"/>
    <x v="5"/>
    <n v="4923.93"/>
    <n v="48"/>
    <x v="1"/>
    <n v="2632.58"/>
    <n v="2926.68"/>
    <x v="0"/>
    <n v="0.14000000000000001"/>
    <x v="0"/>
    <x v="0"/>
    <x v="18"/>
    <n v="294.09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AD9A61-FEC7-4B4A-84B1-DB6F69DAE4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Sales_Amount" fld="4" baseField="0" baseItem="0" numFmtId="44"/>
  </dataFields>
  <formats count="4">
    <format dxfId="639">
      <pivotArea type="all" dataOnly="0" outline="0" fieldPosition="0"/>
    </format>
    <format dxfId="640">
      <pivotArea dataOnly="0" labelOnly="1" outline="0" axis="axisValues" fieldPosition="0"/>
    </format>
    <format dxfId="641">
      <pivotArea outline="0" collapsedLevelsAreSubtotals="1" fieldPosition="0"/>
    </format>
    <format dxfId="6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AFF36-2300-40AD-9FD8-AB93FC2A46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axis="axisRow" showAll="0" measureFilter="1">
      <items count="6">
        <item x="4"/>
        <item x="0"/>
        <item x="2"/>
        <item x="1"/>
        <item x="3"/>
        <item t="default"/>
      </items>
    </pivotField>
    <pivotField showAll="0">
      <items count="8">
        <item x="5"/>
        <item x="6"/>
        <item x="0"/>
        <item x="1"/>
        <item x="2"/>
        <item x="3"/>
        <item x="4"/>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4">
    <i>
      <x/>
    </i>
    <i>
      <x v="3"/>
    </i>
    <i>
      <x v="4"/>
    </i>
    <i t="grand">
      <x/>
    </i>
  </rowItems>
  <colItems count="1">
    <i/>
  </colItems>
  <dataFields count="1">
    <dataField name="Sum of Profit" fld="14" baseField="0" baseItem="0" numFmtId="44"/>
  </dataFields>
  <formats count="1">
    <format dxfId="629">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5B5777-709D-4FD4-B0B5-CAB1BA407D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1"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items count="6">
        <item x="4"/>
        <item x="0"/>
        <item x="2"/>
        <item x="1"/>
        <item x="3"/>
        <item t="default"/>
      </items>
    </pivotField>
    <pivotField axis="axisRow" showAll="0">
      <items count="8">
        <item x="5"/>
        <item x="6"/>
        <item x="0"/>
        <item x="1"/>
        <item x="2"/>
        <item x="3"/>
        <item x="4"/>
        <item t="default"/>
      </items>
    </pivotField>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8">
    <i>
      <x/>
    </i>
    <i>
      <x v="1"/>
    </i>
    <i>
      <x v="2"/>
    </i>
    <i>
      <x v="3"/>
    </i>
    <i>
      <x v="4"/>
    </i>
    <i>
      <x v="5"/>
    </i>
    <i>
      <x v="6"/>
    </i>
    <i t="grand">
      <x/>
    </i>
  </rowItems>
  <colItems count="1">
    <i/>
  </colItems>
  <dataFields count="1">
    <dataField name="Sum of Profit" fld="14" baseField="0" baseItem="0"/>
  </dataFields>
  <formats count="2">
    <format dxfId="630">
      <pivotArea collapsedLevelsAreSubtotals="1" fieldPosition="0">
        <references count="1">
          <reference field="3" count="0"/>
        </references>
      </pivotArea>
    </format>
    <format dxfId="63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9D8A1-3FE5-487D-8540-523E1F6722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G8"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Sales_Amount" fld="4" baseField="0" baseItem="0"/>
  </dataFields>
  <formats count="2">
    <format dxfId="632">
      <pivotArea collapsedLevelsAreSubtotals="1" fieldPosition="0">
        <references count="1">
          <reference field="6" count="0"/>
        </references>
      </pivotArea>
    </format>
    <format dxfId="63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4546A0-B816-49B2-886C-9FAB898731B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3:D16"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Profit" fld="14" baseField="0" baseItem="0" numFmtId="44"/>
  </dataFields>
  <formats count="1">
    <format dxfId="644">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1D8D21-6A4C-433F-8D88-4B64F615D8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Sum of Profit" fld="14" baseField="0" baseItem="0" numFmtId="44"/>
  </dataFields>
  <formats count="5">
    <format dxfId="634">
      <pivotArea type="all" dataOnly="0" outline="0" fieldPosition="0"/>
    </format>
    <format dxfId="635">
      <pivotArea outline="0" collapsedLevelsAreSubtotals="1" fieldPosition="0"/>
    </format>
    <format dxfId="636">
      <pivotArea dataOnly="0" labelOnly="1" outline="0" axis="axisValues" fieldPosition="0"/>
    </format>
    <format dxfId="637">
      <pivotArea outline="0" collapsedLevelsAreSubtotals="1" fieldPosition="0"/>
    </format>
    <format dxfId="6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C61E74-4287-4B39-826F-F6EC2CBE6FD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7"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959779-E6BD-48D4-B679-C7A9DD6C7EA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6"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axis="axisRow" showAll="0">
      <items count="3">
        <item x="0"/>
        <item x="1"/>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2"/>
  </rowFields>
  <rowItems count="3">
    <i>
      <x/>
    </i>
    <i>
      <x v="1"/>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E33CDE-9D66-42ED-8054-32D67A127FB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dataField="1" showAll="0"/>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1"/>
  </rowFields>
  <rowItems count="4">
    <i>
      <x/>
    </i>
    <i>
      <x v="1"/>
    </i>
    <i>
      <x v="2"/>
    </i>
    <i t="grand">
      <x/>
    </i>
  </rowItems>
  <colItems count="1">
    <i/>
  </colItems>
  <dataFields count="1">
    <dataField name="Sum of Sales_Amount" fld="4"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1" count="1" selected="0">
            <x v="0"/>
          </reference>
        </references>
      </pivotArea>
    </chartFormat>
    <chartFormat chart="6" format="7">
      <pivotArea type="data" outline="0" fieldPosition="0">
        <references count="2">
          <reference field="4294967294" count="1" selected="0">
            <x v="0"/>
          </reference>
          <reference field="11" count="1" selected="0">
            <x v="1"/>
          </reference>
        </references>
      </pivotArea>
    </chartFormat>
    <chartFormat chart="6"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09532D-958B-4654-A07D-A25CEAFF434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0:E15" firstHeaderRow="1" firstDataRow="1" firstDataCol="1"/>
  <pivotFields count="18">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showAll="0"/>
    <pivotField showAll="0"/>
    <pivotField showAll="0"/>
    <pivotField axis="axisRow" showAll="0">
      <items count="5">
        <item x="2"/>
        <item x="3"/>
        <item x="1"/>
        <item x="0"/>
        <item t="default"/>
      </items>
    </pivotField>
    <pivotField showAll="0"/>
    <pivotField showAll="0"/>
    <pivotField showAll="0">
      <items count="3">
        <item x="1"/>
        <item x="0"/>
        <item t="default"/>
      </items>
    </pivotField>
    <pivotField dataField="1" showAll="0"/>
    <pivotField showAll="0">
      <items count="4">
        <item x="1"/>
        <item x="0"/>
        <item x="2"/>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5">
    <i>
      <x/>
    </i>
    <i>
      <x v="1"/>
    </i>
    <i>
      <x v="2"/>
    </i>
    <i>
      <x v="3"/>
    </i>
    <i t="grand">
      <x/>
    </i>
  </rowItems>
  <colItems count="1">
    <i/>
  </colItems>
  <dataFields count="1">
    <dataField name="Sum of Discount" fld="10" baseField="0" baseItem="0" numFmtId="44"/>
  </dataFields>
  <formats count="1">
    <format dxfId="643">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5BD4FD0E-D2B7-45B1-A3D9-3CEB4DD21B67}" sourceName="Months (Sale_Date)">
  <data>
    <tabular pivotCacheId="80605218">
      <items count="14">
        <i x="1" s="1"/>
        <i x="2"/>
        <i x="3"/>
        <i x="4"/>
        <i x="5"/>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84E3AE5-B24D-405D-8B2C-FFDF16C3A0ED}" sourceName="Product_Category">
  <pivotTables>
    <pivotTable tabId="7" name="PivotTable5"/>
    <pivotTable tabId="9" name="PivotTable10"/>
    <pivotTable tabId="9" name="PivotTable11"/>
    <pivotTable tabId="9" name="PivotTable12"/>
    <pivotTable tabId="9" name="PivotTable13"/>
    <pivotTable tabId="7" name="PivotTable3"/>
    <pivotTable tabId="7" name="PivotTable4"/>
    <pivotTable tabId="7" name="PivotTable6"/>
    <pivotTable tabId="7" name="PivotTable7"/>
    <pivotTable tabId="7" name="PivotTable8"/>
  </pivotTables>
  <data>
    <tabular pivotCacheId="80605218">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1" xr10:uid="{438B0B6B-EE44-481E-BAC1-CE9D4B8B392B}" sourceName="Months (Sale_Date)">
  <pivotTables>
    <pivotTable tabId="9" name="PivotTable10"/>
    <pivotTable tabId="9" name="PivotTable11"/>
    <pivotTable tabId="9" name="PivotTable12"/>
    <pivotTable tabId="9" name="PivotTable13"/>
    <pivotTable tabId="7" name="PivotTable4"/>
    <pivotTable tabId="7" name="PivotTable6"/>
    <pivotTable tabId="7" name="PivotTable7"/>
    <pivotTable tabId="7" name="PivotTable8"/>
    <pivotTable tabId="7" name="PivotTable3"/>
  </pivotTables>
  <data>
    <tabular pivotCacheId="80605218">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ECDCADCD-4A76-4FF5-A1B6-8DA3945B626C}" sourceName="Years (Sale_Date)">
  <pivotTables>
    <pivotTable tabId="7" name="PivotTable5"/>
    <pivotTable tabId="9" name="PivotTable10"/>
    <pivotTable tabId="9" name="PivotTable11"/>
    <pivotTable tabId="9" name="PivotTable12"/>
    <pivotTable tabId="9" name="PivotTable13"/>
    <pivotTable tabId="7" name="PivotTable3"/>
    <pivotTable tabId="7" name="PivotTable4"/>
    <pivotTable tabId="7" name="PivotTable6"/>
    <pivotTable tabId="7" name="PivotTable7"/>
    <pivotTable tabId="7" name="PivotTable8"/>
  </pivotTables>
  <data>
    <tabular pivotCacheId="80605218">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xr10:uid="{6B7D5C2B-9A04-4086-94FF-A25DD4BA2E48}" cache="Slicer_Months__Sale_Date" caption="Months (Sale_Date)" columnCount="3" style="SlicerStyleLight1"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3D45BBE0-01BE-4B27-AF5E-308AC0D45D0B}" cache="Slicer_Product_Category" caption="Product_Category" style="Slicer Style 1" rowHeight="247650"/>
  <slicer name="Months (Sale_Date) 2" xr10:uid="{3905F79E-89D7-4C1D-AE4E-C2FE0640A0A7}" cache="Slicer_Months__Sale_Date1" caption="Months (Sale_Date)" style="Slicer Style 1" rowHeight="247650"/>
  <slicer name="Years (Sale_Date) 1" xr10:uid="{887B2182-A8F2-4B31-8853-28AF601AFC30}" cache="Slicer_Years__Sale_Date" caption="Years (Sale_Dat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CCCA5F-0143-44F0-9C02-FC994CA44E64}" name="Table1" displayName="Table1" ref="F13:G25" totalsRowShown="0">
  <autoFilter ref="F13:G25" xr:uid="{F8CCCA5F-0143-44F0-9C02-FC994CA44E64}"/>
  <tableColumns count="2">
    <tableColumn id="1" xr3:uid="{CA458ABD-4C2B-4631-AE76-AFC340CF7B0E}" name="Column1" dataDxfId="664"/>
    <tableColumn id="2" xr3:uid="{0B949E56-3400-4ECC-8D83-706DE65B2BB8}" name="Column2" dataDxfId="6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A2BE8B-BD1F-4D1A-8B9C-84CF1B0CF7DC}" name="Table2" displayName="Table2" ref="M11:N18" totalsRowShown="0">
  <autoFilter ref="M11:N18" xr:uid="{5BA2BE8B-BD1F-4D1A-8B9C-84CF1B0CF7DC}"/>
  <tableColumns count="2">
    <tableColumn id="1" xr3:uid="{7B12E053-E420-4CCC-B163-2D3FF29BB53B}" name="Column1" dataDxfId="662"/>
    <tableColumn id="2" xr3:uid="{A841DCD3-980F-4C96-B1EA-6B5C6CADBDA0}" name="Column2" dataDxfId="6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7718EF-E0AB-4AD9-AB4B-622497E609AC}" name="Table3" displayName="Table3" ref="A1:N1001" totalsRowShown="0" headerRowDxfId="660" dataDxfId="659">
  <autoFilter ref="A1:N1001" xr:uid="{AC7718EF-E0AB-4AD9-AB4B-622497E609AC}"/>
  <tableColumns count="14">
    <tableColumn id="1" xr3:uid="{8E54869E-1BEF-4CDE-A67A-996DC75B5B4A}" name="Product_ID" dataDxfId="658"/>
    <tableColumn id="2" xr3:uid="{E6417017-4A83-4A59-A001-16EB5FCDEDCD}" name="Sale_Date" dataDxfId="657"/>
    <tableColumn id="3" xr3:uid="{F9EFACFD-7001-4D28-B61C-3291DEBD6623}" name="Customer Name" dataDxfId="656"/>
    <tableColumn id="17" xr3:uid="{D0DCAF3B-6C08-4D1F-93EE-87C4EF0DDDF7}" name="States" dataDxfId="655"/>
    <tableColumn id="5" xr3:uid="{5C1A097D-5FC7-44F4-BB42-A44CA6DF0074}" name="Sales_Amount" dataDxfId="654"/>
    <tableColumn id="6" xr3:uid="{A94515B4-D4FA-4C18-8B9F-4EA50CD59688}" name="Quantity" dataDxfId="653"/>
    <tableColumn id="7" xr3:uid="{55CFD747-FC82-4130-9915-691B779F33C6}" name="Product_Category" dataDxfId="652"/>
    <tableColumn id="8" xr3:uid="{C8116921-5BC7-4192-A8E4-B188A3896DAE}" name="Unit_Cost" dataDxfId="651"/>
    <tableColumn id="9" xr3:uid="{BE7301D5-1BE8-4ECE-BC82-7D24339B7B90}" name="Unit_Price" dataDxfId="650"/>
    <tableColumn id="10" xr3:uid="{EC91F5B7-F1C0-4D48-BF26-044FF6931B3F}" name="Customer_Type" dataDxfId="649"/>
    <tableColumn id="11" xr3:uid="{4E616C1F-4A5A-452C-B024-38863972975E}" name="Discount" dataDxfId="648"/>
    <tableColumn id="12" xr3:uid="{AE9DB619-5DBD-43E2-AA0E-D031C4E2E2CA}" name="Payment_Method" dataDxfId="647"/>
    <tableColumn id="13" xr3:uid="{B9CC5706-50AE-43DA-B436-67270F1150F5}" name="Sales_Channel" dataDxfId="646"/>
    <tableColumn id="18" xr3:uid="{F89E33D7-0E45-4EF9-961C-3B84D3D84273}" name="Profit" dataDxfId="645">
      <calculatedColumnFormula>SUM(Table3[[#This Row],[Unit_Price]]-Table3[[#This Row],[Unit_Cost]])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4.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E16D5-777B-49DE-9BBC-FB9220018029}">
  <dimension ref="A1"/>
  <sheetViews>
    <sheetView showGridLines="0" topLeftCell="V4" zoomScale="50" workbookViewId="0">
      <selection activeCell="T19" sqref="T19"/>
    </sheetView>
  </sheetViews>
  <sheetFormatPr defaultRowHeight="14.4" x14ac:dyDescent="0.3"/>
  <cols>
    <col min="23" max="23"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76D8-4C1D-4F14-A6AC-6F52ECBAF87D}">
  <dimension ref="A1"/>
  <sheetViews>
    <sheetView showGridLines="0" tabSelected="1" zoomScale="71" workbookViewId="0">
      <selection activeCell="AE19" sqref="AE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2648-466D-4097-9689-509F9CE51956}">
  <dimension ref="A2:N25"/>
  <sheetViews>
    <sheetView showGridLines="0" workbookViewId="0">
      <selection activeCell="C3" sqref="C3:D16"/>
    </sheetView>
  </sheetViews>
  <sheetFormatPr defaultRowHeight="14.4" x14ac:dyDescent="0.3"/>
  <cols>
    <col min="1" max="1" width="12.21875" bestFit="1" customWidth="1"/>
    <col min="2" max="4" width="12.44140625" bestFit="1" customWidth="1"/>
    <col min="6" max="6" width="12.44140625" bestFit="1" customWidth="1"/>
    <col min="7" max="7" width="19" bestFit="1" customWidth="1"/>
    <col min="9" max="10" width="12.44140625" bestFit="1" customWidth="1"/>
    <col min="11" max="11" width="15.5546875" bestFit="1" customWidth="1"/>
    <col min="12" max="13" width="12.44140625" bestFit="1" customWidth="1"/>
    <col min="14" max="14" width="11.6640625" customWidth="1"/>
    <col min="15" max="15" width="10.5546875" bestFit="1" customWidth="1"/>
    <col min="16" max="16" width="3.21875" bestFit="1" customWidth="1"/>
    <col min="17" max="17" width="4" bestFit="1" customWidth="1"/>
    <col min="18" max="18" width="4.21875" bestFit="1" customWidth="1"/>
    <col min="19" max="19" width="4" bestFit="1" customWidth="1"/>
    <col min="20" max="21" width="4.21875" bestFit="1" customWidth="1"/>
    <col min="22" max="22" width="10.5546875" bestFit="1" customWidth="1"/>
  </cols>
  <sheetData>
    <row r="2" spans="1:14" x14ac:dyDescent="0.3">
      <c r="A2" s="12" t="s">
        <v>66</v>
      </c>
      <c r="C2" s="23" t="s">
        <v>70</v>
      </c>
      <c r="D2" s="23"/>
      <c r="F2" s="24" t="s">
        <v>68</v>
      </c>
      <c r="G2" s="24"/>
      <c r="I2" s="23" t="s">
        <v>69</v>
      </c>
      <c r="J2" s="23"/>
      <c r="L2" s="23" t="s">
        <v>71</v>
      </c>
      <c r="M2" s="23"/>
    </row>
    <row r="3" spans="1:14" x14ac:dyDescent="0.3">
      <c r="A3" s="1" t="s">
        <v>41</v>
      </c>
      <c r="C3" s="9" t="s">
        <v>39</v>
      </c>
      <c r="D3" t="s">
        <v>54</v>
      </c>
      <c r="F3" s="9" t="s">
        <v>39</v>
      </c>
      <c r="G3" t="s">
        <v>41</v>
      </c>
      <c r="I3" s="9" t="s">
        <v>39</v>
      </c>
      <c r="J3" t="s">
        <v>54</v>
      </c>
      <c r="L3" s="9" t="s">
        <v>39</v>
      </c>
      <c r="M3" t="s">
        <v>54</v>
      </c>
    </row>
    <row r="4" spans="1:14" x14ac:dyDescent="0.3">
      <c r="A4" s="22">
        <v>5019265.2300000023</v>
      </c>
      <c r="C4" s="10" t="s">
        <v>42</v>
      </c>
      <c r="D4" s="13">
        <v>26367.349999999915</v>
      </c>
      <c r="F4" s="10" t="s">
        <v>26</v>
      </c>
      <c r="G4" s="13">
        <v>1313474.3599999999</v>
      </c>
      <c r="I4" s="10" t="s">
        <v>49</v>
      </c>
      <c r="J4" s="13">
        <v>35298.569999999847</v>
      </c>
      <c r="L4" s="10" t="s">
        <v>33</v>
      </c>
      <c r="M4" s="13">
        <v>50488.309999999896</v>
      </c>
    </row>
    <row r="5" spans="1:14" x14ac:dyDescent="0.3">
      <c r="A5" s="14"/>
      <c r="C5" s="10" t="s">
        <v>55</v>
      </c>
      <c r="D5" s="13">
        <v>17827.969999999972</v>
      </c>
      <c r="F5" s="10" t="s">
        <v>31</v>
      </c>
      <c r="G5" s="13">
        <v>1243499.6400000006</v>
      </c>
      <c r="I5" s="10" t="s">
        <v>50</v>
      </c>
      <c r="J5" s="13">
        <v>37205.009999999835</v>
      </c>
      <c r="L5" s="10" t="s">
        <v>22</v>
      </c>
      <c r="M5" s="13">
        <v>54995.439999999777</v>
      </c>
    </row>
    <row r="6" spans="1:14" x14ac:dyDescent="0.3">
      <c r="A6" s="15" t="s">
        <v>67</v>
      </c>
      <c r="C6" s="10" t="s">
        <v>56</v>
      </c>
      <c r="D6" s="13">
        <v>20697.999999999902</v>
      </c>
      <c r="F6" s="10" t="s">
        <v>24</v>
      </c>
      <c r="G6" s="13">
        <v>1201773.5399999998</v>
      </c>
      <c r="I6" s="10" t="s">
        <v>44</v>
      </c>
      <c r="J6" s="13">
        <v>37308.339999999887</v>
      </c>
      <c r="L6" s="10" t="s">
        <v>32</v>
      </c>
      <c r="M6" s="13">
        <v>55081.799999999828</v>
      </c>
    </row>
    <row r="7" spans="1:14" x14ac:dyDescent="0.3">
      <c r="A7" s="1" t="s">
        <v>54</v>
      </c>
      <c r="C7" s="10" t="s">
        <v>57</v>
      </c>
      <c r="D7" s="13">
        <v>20239.849999999944</v>
      </c>
      <c r="F7" s="10" t="s">
        <v>16</v>
      </c>
      <c r="G7" s="13">
        <v>1260517.6900000002</v>
      </c>
      <c r="I7" s="10" t="s">
        <v>45</v>
      </c>
      <c r="J7" s="13">
        <v>38297.909999999902</v>
      </c>
      <c r="L7" s="10" t="s">
        <v>40</v>
      </c>
      <c r="M7" s="13">
        <v>160565.54999999952</v>
      </c>
    </row>
    <row r="8" spans="1:14" x14ac:dyDescent="0.3">
      <c r="A8" s="21">
        <v>253135.5699999994</v>
      </c>
      <c r="C8" s="10" t="s">
        <v>58</v>
      </c>
      <c r="D8" s="13">
        <v>17983.619999999923</v>
      </c>
      <c r="F8" s="10" t="s">
        <v>40</v>
      </c>
      <c r="G8" s="13">
        <v>5019265.2300000004</v>
      </c>
      <c r="I8" s="10" t="s">
        <v>46</v>
      </c>
      <c r="J8" s="13">
        <v>35776.789999999841</v>
      </c>
    </row>
    <row r="9" spans="1:14" x14ac:dyDescent="0.3">
      <c r="C9" s="10" t="s">
        <v>59</v>
      </c>
      <c r="D9" s="13">
        <v>23698.149999999874</v>
      </c>
      <c r="I9" s="10" t="s">
        <v>47</v>
      </c>
      <c r="J9" s="13">
        <v>35422.589999999938</v>
      </c>
    </row>
    <row r="10" spans="1:14" x14ac:dyDescent="0.3">
      <c r="A10" t="str" cm="1">
        <f t="array" ref="A10:A11">A3:A4</f>
        <v>Sum of Sales_Amount</v>
      </c>
      <c r="C10" s="10" t="s">
        <v>60</v>
      </c>
      <c r="D10" s="13">
        <v>17360.089999999924</v>
      </c>
      <c r="I10" s="10" t="s">
        <v>48</v>
      </c>
      <c r="J10" s="13">
        <v>33826.359999999797</v>
      </c>
    </row>
    <row r="11" spans="1:14" x14ac:dyDescent="0.3">
      <c r="A11">
        <v>5019265.2300000023</v>
      </c>
      <c r="C11" s="10" t="s">
        <v>61</v>
      </c>
      <c r="D11" s="13">
        <v>22153.829999999944</v>
      </c>
      <c r="I11" s="10" t="s">
        <v>40</v>
      </c>
      <c r="J11" s="13">
        <v>253135.56999999908</v>
      </c>
      <c r="M11" s="10" t="s">
        <v>73</v>
      </c>
      <c r="N11" s="13" t="s">
        <v>74</v>
      </c>
    </row>
    <row r="12" spans="1:14" x14ac:dyDescent="0.3">
      <c r="C12" s="10" t="s">
        <v>62</v>
      </c>
      <c r="D12" s="13">
        <v>18220.949999999906</v>
      </c>
      <c r="M12" s="10" t="s">
        <v>49</v>
      </c>
      <c r="N12" s="13">
        <v>35298.569999999847</v>
      </c>
    </row>
    <row r="13" spans="1:14" x14ac:dyDescent="0.3">
      <c r="A13" s="13" t="str" cm="1">
        <f t="array" ref="A13:A14">A7:A8</f>
        <v>Sum of Profit</v>
      </c>
      <c r="C13" s="10" t="s">
        <v>63</v>
      </c>
      <c r="D13" s="13">
        <v>22476.199999999935</v>
      </c>
      <c r="F13" s="10" t="s">
        <v>73</v>
      </c>
      <c r="G13" s="13" t="s">
        <v>74</v>
      </c>
      <c r="M13" s="10" t="s">
        <v>50</v>
      </c>
      <c r="N13" s="13">
        <v>37205.009999999835</v>
      </c>
    </row>
    <row r="14" spans="1:14" x14ac:dyDescent="0.3">
      <c r="A14">
        <v>253135.5699999994</v>
      </c>
      <c r="C14" s="10" t="s">
        <v>64</v>
      </c>
      <c r="D14" s="13">
        <v>23690.8499999999</v>
      </c>
      <c r="F14" s="10" t="s">
        <v>42</v>
      </c>
      <c r="G14" s="13">
        <v>26367.349999999915</v>
      </c>
      <c r="M14" s="10" t="s">
        <v>44</v>
      </c>
      <c r="N14" s="13">
        <v>37308.339999999887</v>
      </c>
    </row>
    <row r="15" spans="1:14" x14ac:dyDescent="0.3">
      <c r="C15" s="10" t="s">
        <v>65</v>
      </c>
      <c r="D15" s="13">
        <v>22418.709999999897</v>
      </c>
      <c r="F15" s="10" t="s">
        <v>55</v>
      </c>
      <c r="G15" s="13">
        <v>17827.969999999972</v>
      </c>
      <c r="I15" s="16"/>
      <c r="J15" s="17"/>
      <c r="M15" s="10" t="s">
        <v>45</v>
      </c>
      <c r="N15" s="13">
        <v>38297.909999999902</v>
      </c>
    </row>
    <row r="16" spans="1:14" x14ac:dyDescent="0.3">
      <c r="C16" s="10" t="s">
        <v>40</v>
      </c>
      <c r="D16" s="13">
        <v>253135.56999999902</v>
      </c>
      <c r="F16" s="10" t="s">
        <v>56</v>
      </c>
      <c r="G16" s="13">
        <v>20697.999999999902</v>
      </c>
      <c r="M16" s="10" t="s">
        <v>46</v>
      </c>
      <c r="N16" s="13">
        <v>35776.789999999841</v>
      </c>
    </row>
    <row r="17" spans="6:14" x14ac:dyDescent="0.3">
      <c r="F17" s="10" t="s">
        <v>57</v>
      </c>
      <c r="G17" s="13">
        <v>20239.849999999944</v>
      </c>
      <c r="M17" s="10" t="s">
        <v>47</v>
      </c>
      <c r="N17" s="13">
        <v>35422.589999999938</v>
      </c>
    </row>
    <row r="18" spans="6:14" x14ac:dyDescent="0.3">
      <c r="F18" s="10" t="s">
        <v>58</v>
      </c>
      <c r="G18" s="13">
        <v>17983.619999999923</v>
      </c>
      <c r="M18" s="10" t="s">
        <v>48</v>
      </c>
      <c r="N18" s="13">
        <v>33826.359999999797</v>
      </c>
    </row>
    <row r="19" spans="6:14" x14ac:dyDescent="0.3">
      <c r="F19" s="10" t="s">
        <v>59</v>
      </c>
      <c r="G19" s="13">
        <v>23698.149999999874</v>
      </c>
    </row>
    <row r="20" spans="6:14" x14ac:dyDescent="0.3">
      <c r="F20" s="10" t="s">
        <v>60</v>
      </c>
      <c r="G20" s="13">
        <v>17360.089999999924</v>
      </c>
    </row>
    <row r="21" spans="6:14" x14ac:dyDescent="0.3">
      <c r="F21" s="10" t="s">
        <v>61</v>
      </c>
      <c r="G21" s="13">
        <v>22153.829999999944</v>
      </c>
      <c r="K21" s="10" t="s">
        <v>33</v>
      </c>
      <c r="L21" s="13">
        <v>50488.309999999896</v>
      </c>
    </row>
    <row r="22" spans="6:14" x14ac:dyDescent="0.3">
      <c r="F22" s="10" t="s">
        <v>62</v>
      </c>
      <c r="G22" s="13">
        <v>18220.949999999906</v>
      </c>
      <c r="K22" s="10" t="s">
        <v>22</v>
      </c>
      <c r="L22" s="13">
        <v>54995.439999999777</v>
      </c>
    </row>
    <row r="23" spans="6:14" x14ac:dyDescent="0.3">
      <c r="F23" s="10" t="s">
        <v>63</v>
      </c>
      <c r="G23" s="13">
        <v>22476.199999999935</v>
      </c>
      <c r="K23" s="10" t="s">
        <v>32</v>
      </c>
      <c r="L23" s="13">
        <v>55081.799999999828</v>
      </c>
    </row>
    <row r="24" spans="6:14" x14ac:dyDescent="0.3">
      <c r="F24" s="10" t="s">
        <v>64</v>
      </c>
      <c r="G24" s="13">
        <v>23690.8499999999</v>
      </c>
    </row>
    <row r="25" spans="6:14" x14ac:dyDescent="0.3">
      <c r="F25" s="10" t="s">
        <v>65</v>
      </c>
      <c r="G25" s="13">
        <v>22418.709999999897</v>
      </c>
    </row>
  </sheetData>
  <mergeCells count="4">
    <mergeCell ref="C2:D2"/>
    <mergeCell ref="F2:G2"/>
    <mergeCell ref="I2:J2"/>
    <mergeCell ref="L2:M2"/>
  </mergeCells>
  <pageMargins left="0.7" right="0.7" top="0.75" bottom="0.75" header="0.3" footer="0.3"/>
  <drawing r:id="rId7"/>
  <tableParts count="2">
    <tablePart r:id="rId8"/>
    <tablePart r:id="rId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E4CE3-516B-4B7D-A892-F7CD2C24D2E0}">
  <dimension ref="A3:H19"/>
  <sheetViews>
    <sheetView workbookViewId="0">
      <selection activeCell="D4" sqref="D4:E5"/>
    </sheetView>
  </sheetViews>
  <sheetFormatPr defaultRowHeight="14.4" x14ac:dyDescent="0.3"/>
  <cols>
    <col min="1" max="1" width="12.44140625" bestFit="1" customWidth="1"/>
    <col min="2" max="2" width="19" bestFit="1" customWidth="1"/>
    <col min="3" max="3" width="13.88671875" bestFit="1" customWidth="1"/>
    <col min="4" max="4" width="12.44140625" bestFit="1" customWidth="1"/>
    <col min="5" max="5" width="14.44140625" bestFit="1" customWidth="1"/>
    <col min="7" max="7" width="12.44140625" bestFit="1" customWidth="1"/>
    <col min="8" max="8" width="19" bestFit="1" customWidth="1"/>
  </cols>
  <sheetData>
    <row r="3" spans="1:8" x14ac:dyDescent="0.3">
      <c r="A3" s="9" t="s">
        <v>39</v>
      </c>
      <c r="B3" t="s">
        <v>41</v>
      </c>
      <c r="C3" s="19"/>
      <c r="D3" s="9" t="s">
        <v>39</v>
      </c>
      <c r="E3" t="s">
        <v>41</v>
      </c>
      <c r="F3" s="19"/>
      <c r="G3" s="9" t="s">
        <v>39</v>
      </c>
      <c r="H3" t="s">
        <v>41</v>
      </c>
    </row>
    <row r="4" spans="1:8" x14ac:dyDescent="0.3">
      <c r="A4" s="10" t="s">
        <v>25</v>
      </c>
      <c r="B4" s="18">
        <v>1717363.1699999997</v>
      </c>
      <c r="C4" s="19"/>
      <c r="D4" s="10" t="s">
        <v>19</v>
      </c>
      <c r="E4" s="18">
        <v>2458833.9300000034</v>
      </c>
      <c r="F4" s="19"/>
      <c r="G4" s="10" t="s">
        <v>25</v>
      </c>
      <c r="H4" s="18">
        <v>1717363.1699999997</v>
      </c>
    </row>
    <row r="5" spans="1:8" x14ac:dyDescent="0.3">
      <c r="A5" s="10" t="s">
        <v>18</v>
      </c>
      <c r="B5" s="18">
        <v>1544338.54</v>
      </c>
      <c r="C5" s="19"/>
      <c r="D5" s="10" t="s">
        <v>21</v>
      </c>
      <c r="E5" s="18">
        <v>2560431.2999999984</v>
      </c>
      <c r="F5" s="19"/>
      <c r="G5" s="10" t="s">
        <v>18</v>
      </c>
      <c r="H5" s="18">
        <v>1544338.54</v>
      </c>
    </row>
    <row r="6" spans="1:8" x14ac:dyDescent="0.3">
      <c r="A6" s="10" t="s">
        <v>28</v>
      </c>
      <c r="B6" s="18">
        <v>1757563.5199999998</v>
      </c>
      <c r="C6" s="19"/>
      <c r="D6" s="10" t="s">
        <v>40</v>
      </c>
      <c r="E6" s="18">
        <v>5019265.2300000023</v>
      </c>
      <c r="F6" s="19"/>
      <c r="G6" s="10" t="s">
        <v>28</v>
      </c>
      <c r="H6" s="18">
        <v>1757563.5199999998</v>
      </c>
    </row>
    <row r="7" spans="1:8" x14ac:dyDescent="0.3">
      <c r="A7" s="10" t="s">
        <v>40</v>
      </c>
      <c r="B7" s="18">
        <v>5019265.2299999995</v>
      </c>
      <c r="C7" s="19"/>
      <c r="D7" s="19"/>
      <c r="E7" s="19"/>
      <c r="F7" s="19"/>
      <c r="G7" s="10" t="s">
        <v>40</v>
      </c>
      <c r="H7" s="18">
        <v>5019265.2299999995</v>
      </c>
    </row>
    <row r="10" spans="1:8" x14ac:dyDescent="0.3">
      <c r="D10" s="9" t="s">
        <v>39</v>
      </c>
      <c r="E10" t="s">
        <v>72</v>
      </c>
    </row>
    <row r="11" spans="1:8" x14ac:dyDescent="0.3">
      <c r="D11" s="10" t="s">
        <v>26</v>
      </c>
      <c r="E11" s="13">
        <v>42.940000000000019</v>
      </c>
    </row>
    <row r="12" spans="1:8" x14ac:dyDescent="0.3">
      <c r="D12" s="10" t="s">
        <v>31</v>
      </c>
      <c r="E12" s="13">
        <v>33.58</v>
      </c>
    </row>
    <row r="13" spans="1:8" x14ac:dyDescent="0.3">
      <c r="D13" s="10" t="s">
        <v>24</v>
      </c>
      <c r="E13" s="13">
        <v>34.76</v>
      </c>
    </row>
    <row r="14" spans="1:8" x14ac:dyDescent="0.3">
      <c r="D14" s="10" t="s">
        <v>16</v>
      </c>
      <c r="E14" s="13">
        <v>41.110000000000021</v>
      </c>
    </row>
    <row r="15" spans="1:8" x14ac:dyDescent="0.3">
      <c r="D15" s="10" t="s">
        <v>40</v>
      </c>
      <c r="E15" s="13">
        <v>152.39000000000001</v>
      </c>
    </row>
    <row r="18" spans="2:3" x14ac:dyDescent="0.3">
      <c r="B18" s="20" t="s">
        <v>19</v>
      </c>
      <c r="C18" s="19">
        <v>2458833.9300000034</v>
      </c>
    </row>
    <row r="19" spans="2:3" x14ac:dyDescent="0.3">
      <c r="B19" s="20" t="s">
        <v>21</v>
      </c>
      <c r="C19" s="19">
        <v>2560431.2999999984</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12B0-F666-43D3-BB76-D2C72CF9D6F9}">
  <sheetPr codeName="Sheet1"/>
  <dimension ref="A1:AS1001"/>
  <sheetViews>
    <sheetView topLeftCell="E2" zoomScale="77" workbookViewId="0">
      <selection sqref="A1:N1001"/>
    </sheetView>
  </sheetViews>
  <sheetFormatPr defaultRowHeight="14.4" x14ac:dyDescent="0.3"/>
  <cols>
    <col min="1" max="1" width="16.109375" bestFit="1" customWidth="1"/>
    <col min="2" max="2" width="15.21875" bestFit="1" customWidth="1"/>
    <col min="3" max="3" width="15.5546875" bestFit="1" customWidth="1"/>
    <col min="4" max="4" width="15.5546875" customWidth="1"/>
    <col min="5" max="5" width="18.88671875" bestFit="1" customWidth="1"/>
    <col min="6" max="6" width="22.33203125" bestFit="1" customWidth="1"/>
    <col min="7" max="7" width="21.6640625" bestFit="1" customWidth="1"/>
    <col min="8" max="8" width="14.77734375" bestFit="1" customWidth="1"/>
    <col min="9" max="9" width="20.44140625" bestFit="1" customWidth="1"/>
    <col min="10" max="10" width="19.5546875" bestFit="1" customWidth="1"/>
    <col min="11" max="11" width="21.77734375" bestFit="1" customWidth="1"/>
    <col min="12" max="12" width="19.5546875" bestFit="1" customWidth="1"/>
    <col min="13" max="13" width="26.88671875" bestFit="1" customWidth="1"/>
    <col min="14" max="14" width="26.109375" bestFit="1" customWidth="1"/>
    <col min="15" max="15" width="15.33203125" customWidth="1"/>
    <col min="16" max="16" width="13.44140625" customWidth="1"/>
    <col min="17" max="17" width="15.44140625" customWidth="1"/>
    <col min="18" max="18" width="13.6640625" customWidth="1"/>
    <col min="19" max="19" width="10" style="7" bestFit="1" customWidth="1"/>
    <col min="20" max="20" width="21.109375" bestFit="1" customWidth="1"/>
    <col min="21" max="21" width="15.109375" customWidth="1"/>
    <col min="22" max="22" width="17" customWidth="1"/>
    <col min="23" max="23" width="10.88671875" customWidth="1"/>
    <col min="24" max="24" width="11.77734375" customWidth="1"/>
    <col min="25" max="25" width="16.44140625" customWidth="1"/>
    <col min="26" max="26" width="10.88671875" customWidth="1"/>
    <col min="27" max="27" width="16.33203125" customWidth="1"/>
    <col min="28" max="28" width="15.21875" customWidth="1"/>
    <col min="29" max="29" width="22.5546875" customWidth="1"/>
    <col min="30" max="30" width="14.5546875" bestFit="1" customWidth="1"/>
    <col min="31" max="31" width="6.6640625" bestFit="1" customWidth="1"/>
    <col min="32" max="32" width="10.5546875" bestFit="1" customWidth="1"/>
    <col min="33" max="33" width="9.6640625" bestFit="1" customWidth="1"/>
    <col min="34" max="34" width="10" bestFit="1" customWidth="1"/>
    <col min="35" max="35" width="7.109375" bestFit="1" customWidth="1"/>
    <col min="36" max="36" width="13.44140625" bestFit="1" customWidth="1"/>
    <col min="37" max="37" width="13.33203125" bestFit="1" customWidth="1"/>
    <col min="38" max="38" width="16.77734375" bestFit="1" customWidth="1"/>
    <col min="39" max="39" width="9.5546875" bestFit="1" customWidth="1"/>
    <col min="40" max="40" width="9.88671875" bestFit="1" customWidth="1"/>
    <col min="41" max="41" width="14.88671875" bestFit="1" customWidth="1"/>
    <col min="42" max="42" width="8.88671875" bestFit="1" customWidth="1"/>
    <col min="43" max="43" width="16.21875" bestFit="1" customWidth="1"/>
    <col min="44" max="44" width="14" bestFit="1" customWidth="1"/>
    <col min="45" max="45" width="21.33203125" bestFit="1" customWidth="1"/>
  </cols>
  <sheetData>
    <row r="1" spans="1:45" x14ac:dyDescent="0.3">
      <c r="A1" s="5" t="s">
        <v>0</v>
      </c>
      <c r="B1" s="5" t="s">
        <v>1</v>
      </c>
      <c r="C1" s="5" t="s">
        <v>51</v>
      </c>
      <c r="D1" s="11" t="s">
        <v>43</v>
      </c>
      <c r="E1" s="3" t="s">
        <v>4</v>
      </c>
      <c r="F1" s="3" t="s">
        <v>52</v>
      </c>
      <c r="G1" s="3" t="s">
        <v>6</v>
      </c>
      <c r="H1" s="3" t="s">
        <v>7</v>
      </c>
      <c r="I1" s="3" t="s">
        <v>8</v>
      </c>
      <c r="J1" s="3" t="s">
        <v>9</v>
      </c>
      <c r="K1" s="3" t="s">
        <v>10</v>
      </c>
      <c r="L1" s="3" t="s">
        <v>11</v>
      </c>
      <c r="M1" s="3" t="s">
        <v>12</v>
      </c>
      <c r="N1" s="11" t="s">
        <v>53</v>
      </c>
      <c r="O1" s="7"/>
      <c r="S1"/>
      <c r="AD1" s="3" t="s">
        <v>35</v>
      </c>
      <c r="AF1" s="4" t="s">
        <v>0</v>
      </c>
      <c r="AG1" s="4" t="s">
        <v>1</v>
      </c>
      <c r="AH1" s="4" t="s">
        <v>2</v>
      </c>
      <c r="AI1" s="4" t="s">
        <v>3</v>
      </c>
      <c r="AJ1" s="4" t="s">
        <v>4</v>
      </c>
      <c r="AK1" s="4" t="s">
        <v>5</v>
      </c>
      <c r="AL1" s="4" t="s">
        <v>6</v>
      </c>
      <c r="AM1" s="4" t="s">
        <v>7</v>
      </c>
      <c r="AN1" s="4" t="s">
        <v>8</v>
      </c>
      <c r="AO1" s="4" t="s">
        <v>9</v>
      </c>
      <c r="AP1" s="4" t="s">
        <v>10</v>
      </c>
      <c r="AQ1" s="4" t="s">
        <v>11</v>
      </c>
      <c r="AR1" s="4" t="s">
        <v>12</v>
      </c>
      <c r="AS1" s="4" t="s">
        <v>13</v>
      </c>
    </row>
    <row r="2" spans="1:45" x14ac:dyDescent="0.3">
      <c r="A2" s="1">
        <v>1052</v>
      </c>
      <c r="B2" s="2">
        <v>44960</v>
      </c>
      <c r="C2" s="1" t="s">
        <v>14</v>
      </c>
      <c r="D2" s="1" t="s">
        <v>44</v>
      </c>
      <c r="E2" s="1">
        <v>5053.97</v>
      </c>
      <c r="F2" s="1">
        <v>18</v>
      </c>
      <c r="G2" s="1" t="s">
        <v>16</v>
      </c>
      <c r="H2" s="1">
        <v>152.75</v>
      </c>
      <c r="I2" s="1">
        <v>267.22000000000003</v>
      </c>
      <c r="J2" s="1" t="s">
        <v>17</v>
      </c>
      <c r="K2" s="1">
        <v>0.09</v>
      </c>
      <c r="L2" s="1" t="s">
        <v>18</v>
      </c>
      <c r="M2" s="1" t="s">
        <v>19</v>
      </c>
      <c r="N2" s="1">
        <f>SUM(Table3[[#This Row],[Unit_Price]]-Table3[[#This Row],[Unit_Cost]])</f>
        <v>114.47000000000003</v>
      </c>
      <c r="O2" s="7"/>
      <c r="P2" s="7"/>
      <c r="S2"/>
      <c r="AD2" s="1">
        <f>SUM(AD12:AD19)</f>
        <v>260</v>
      </c>
      <c r="AF2" s="1">
        <v>1093</v>
      </c>
      <c r="AG2" s="2" cm="1">
        <f t="array" ref="AG2:AR2">_xlfn.XLOOKUP(AF2,A2:A1001,B2:M1001)</f>
        <v>45037</v>
      </c>
      <c r="AH2" s="1" t="str">
        <v>Bob</v>
      </c>
      <c r="AI2" s="1" t="str">
        <v>Virginia</v>
      </c>
      <c r="AJ2" s="1">
        <v>4384.0200000000004</v>
      </c>
      <c r="AK2" s="1">
        <v>17</v>
      </c>
      <c r="AL2" s="1" t="str">
        <v>Furniture</v>
      </c>
      <c r="AM2" s="1">
        <v>3816.39</v>
      </c>
      <c r="AN2" s="1">
        <v>4209.4399999999996</v>
      </c>
      <c r="AO2" s="1" t="str">
        <v>Returning</v>
      </c>
      <c r="AP2" s="1">
        <v>0.11</v>
      </c>
      <c r="AQ2" s="1" t="str">
        <v>Cash</v>
      </c>
      <c r="AR2" s="1" t="str">
        <v>Retail</v>
      </c>
      <c r="AS2" s="1"/>
    </row>
    <row r="3" spans="1:45" x14ac:dyDescent="0.3">
      <c r="A3" s="1">
        <v>1093</v>
      </c>
      <c r="B3" s="2">
        <v>45037</v>
      </c>
      <c r="C3" s="1" t="s">
        <v>14</v>
      </c>
      <c r="D3" s="1" t="s">
        <v>45</v>
      </c>
      <c r="E3" s="1">
        <v>4384.0200000000004</v>
      </c>
      <c r="F3" s="1">
        <v>17</v>
      </c>
      <c r="G3" s="1" t="s">
        <v>16</v>
      </c>
      <c r="H3" s="1">
        <v>3816.39</v>
      </c>
      <c r="I3" s="1">
        <v>4209.4399999999996</v>
      </c>
      <c r="J3" s="1" t="s">
        <v>17</v>
      </c>
      <c r="K3" s="1">
        <v>0.11</v>
      </c>
      <c r="L3" s="1" t="s">
        <v>18</v>
      </c>
      <c r="M3" s="1" t="s">
        <v>21</v>
      </c>
      <c r="N3" s="1">
        <f>SUM(Table3[[#This Row],[Unit_Price]]-Table3[[#This Row],[Unit_Cost]])</f>
        <v>393.04999999999973</v>
      </c>
      <c r="O3" s="7"/>
      <c r="P3" s="7"/>
      <c r="Q3" s="7"/>
      <c r="S3"/>
    </row>
    <row r="4" spans="1:45" x14ac:dyDescent="0.3">
      <c r="A4" s="1">
        <v>1015</v>
      </c>
      <c r="B4" s="2">
        <v>45190</v>
      </c>
      <c r="C4" s="1" t="s">
        <v>22</v>
      </c>
      <c r="D4" s="1" t="s">
        <v>46</v>
      </c>
      <c r="E4" s="1">
        <v>4631.2299999999996</v>
      </c>
      <c r="F4" s="1">
        <v>30</v>
      </c>
      <c r="G4" s="1" t="s">
        <v>24</v>
      </c>
      <c r="H4" s="1">
        <v>261.56</v>
      </c>
      <c r="I4" s="1">
        <v>371.4</v>
      </c>
      <c r="J4" s="1" t="s">
        <v>17</v>
      </c>
      <c r="K4" s="1">
        <v>0.2</v>
      </c>
      <c r="L4" s="1" t="s">
        <v>25</v>
      </c>
      <c r="M4" s="1" t="s">
        <v>21</v>
      </c>
      <c r="N4" s="1">
        <f>SUM(Table3[[#This Row],[Unit_Price]]-Table3[[#This Row],[Unit_Cost]])</f>
        <v>109.83999999999997</v>
      </c>
      <c r="O4" s="7"/>
      <c r="P4" s="7"/>
      <c r="R4" s="6"/>
      <c r="S4" s="6"/>
      <c r="T4" s="6"/>
      <c r="AD4" s="3" t="s">
        <v>34</v>
      </c>
    </row>
    <row r="5" spans="1:45" x14ac:dyDescent="0.3">
      <c r="A5" s="1">
        <v>1072</v>
      </c>
      <c r="B5" s="2">
        <v>45162</v>
      </c>
      <c r="C5" s="1" t="s">
        <v>14</v>
      </c>
      <c r="D5" s="1" t="s">
        <v>47</v>
      </c>
      <c r="E5" s="1">
        <v>2167.94</v>
      </c>
      <c r="F5" s="1">
        <v>39</v>
      </c>
      <c r="G5" s="1" t="s">
        <v>26</v>
      </c>
      <c r="H5" s="1">
        <v>4330.03</v>
      </c>
      <c r="I5" s="1">
        <v>4467.75</v>
      </c>
      <c r="J5" s="1" t="s">
        <v>27</v>
      </c>
      <c r="K5" s="1">
        <v>0.02</v>
      </c>
      <c r="L5" s="1" t="s">
        <v>28</v>
      </c>
      <c r="M5" s="1" t="s">
        <v>21</v>
      </c>
      <c r="N5" s="1">
        <f>SUM(Table3[[#This Row],[Unit_Price]]-Table3[[#This Row],[Unit_Cost]])</f>
        <v>137.72000000000025</v>
      </c>
      <c r="O5" s="7"/>
      <c r="P5" s="7"/>
      <c r="Q5" s="7"/>
      <c r="R5" s="7"/>
      <c r="S5" s="1"/>
      <c r="T5" s="1"/>
      <c r="AD5" s="1">
        <f>SUM(H2:H1001)</f>
        <v>2475304.5499999998</v>
      </c>
    </row>
    <row r="6" spans="1:45" x14ac:dyDescent="0.3">
      <c r="A6" s="1">
        <v>1061</v>
      </c>
      <c r="B6" s="2">
        <v>45009</v>
      </c>
      <c r="C6" s="1" t="s">
        <v>29</v>
      </c>
      <c r="D6" s="1" t="s">
        <v>48</v>
      </c>
      <c r="E6" s="1">
        <v>3750.2</v>
      </c>
      <c r="F6" s="1">
        <v>13</v>
      </c>
      <c r="G6" s="1" t="s">
        <v>31</v>
      </c>
      <c r="H6" s="1">
        <v>637.37</v>
      </c>
      <c r="I6" s="1">
        <v>692.71</v>
      </c>
      <c r="J6" s="1" t="s">
        <v>27</v>
      </c>
      <c r="K6" s="1">
        <v>0.08</v>
      </c>
      <c r="L6" s="1" t="s">
        <v>28</v>
      </c>
      <c r="M6" s="1" t="s">
        <v>19</v>
      </c>
      <c r="N6" s="1">
        <f>SUM(Table3[[#This Row],[Unit_Price]]-Table3[[#This Row],[Unit_Cost]])</f>
        <v>55.340000000000032</v>
      </c>
      <c r="O6" s="7"/>
      <c r="P6" s="7"/>
      <c r="Q6" s="7"/>
      <c r="S6"/>
    </row>
    <row r="7" spans="1:45" x14ac:dyDescent="0.3">
      <c r="A7" s="1">
        <v>1021</v>
      </c>
      <c r="B7" s="2">
        <v>44968</v>
      </c>
      <c r="C7" s="1" t="s">
        <v>29</v>
      </c>
      <c r="D7" s="1" t="s">
        <v>49</v>
      </c>
      <c r="E7" s="1">
        <v>3761.15</v>
      </c>
      <c r="F7" s="1">
        <v>32</v>
      </c>
      <c r="G7" s="1" t="s">
        <v>24</v>
      </c>
      <c r="H7" s="1">
        <v>900.79</v>
      </c>
      <c r="I7" s="1">
        <v>1106.51</v>
      </c>
      <c r="J7" s="1" t="s">
        <v>27</v>
      </c>
      <c r="K7" s="1">
        <v>0.21</v>
      </c>
      <c r="L7" s="1" t="s">
        <v>18</v>
      </c>
      <c r="M7" s="1" t="s">
        <v>19</v>
      </c>
      <c r="N7" s="1">
        <f>SUM(Table3[[#This Row],[Unit_Price]]-Table3[[#This Row],[Unit_Cost]])</f>
        <v>205.72000000000003</v>
      </c>
      <c r="O7" s="7"/>
      <c r="P7" s="7"/>
      <c r="Q7" s="7"/>
      <c r="S7"/>
      <c r="AD7" s="3" t="s">
        <v>38</v>
      </c>
    </row>
    <row r="8" spans="1:45" x14ac:dyDescent="0.3">
      <c r="A8" s="1">
        <v>1083</v>
      </c>
      <c r="B8" s="2">
        <v>45027</v>
      </c>
      <c r="C8" s="1" t="s">
        <v>14</v>
      </c>
      <c r="D8" s="1" t="s">
        <v>50</v>
      </c>
      <c r="E8" s="1">
        <v>618.30999999999995</v>
      </c>
      <c r="F8" s="1">
        <v>29</v>
      </c>
      <c r="G8" s="1" t="s">
        <v>16</v>
      </c>
      <c r="H8" s="1">
        <v>2408.81</v>
      </c>
      <c r="I8" s="1">
        <v>2624.09</v>
      </c>
      <c r="J8" s="1" t="s">
        <v>17</v>
      </c>
      <c r="K8" s="1">
        <v>0.14000000000000001</v>
      </c>
      <c r="L8" s="1" t="s">
        <v>18</v>
      </c>
      <c r="M8" s="1" t="s">
        <v>19</v>
      </c>
      <c r="N8" s="1">
        <f>SUM(Table3[[#This Row],[Unit_Price]]-Table3[[#This Row],[Unit_Cost]])</f>
        <v>215.2800000000002</v>
      </c>
      <c r="O8" s="7"/>
      <c r="P8" s="7"/>
      <c r="Q8" s="7"/>
      <c r="S8"/>
      <c r="AD8" s="8" cm="1">
        <f t="array" ref="AD8">SUM(I2:I1001*1-K2:K1001)</f>
        <v>2728287.7300000004</v>
      </c>
    </row>
    <row r="9" spans="1:45" x14ac:dyDescent="0.3">
      <c r="A9" s="1">
        <v>1087</v>
      </c>
      <c r="B9" s="2">
        <v>44932</v>
      </c>
      <c r="C9" s="1" t="s">
        <v>32</v>
      </c>
      <c r="D9" s="1" t="s">
        <v>44</v>
      </c>
      <c r="E9" s="1">
        <v>7698.92</v>
      </c>
      <c r="F9" s="1">
        <v>46</v>
      </c>
      <c r="G9" s="1" t="s">
        <v>16</v>
      </c>
      <c r="H9" s="1">
        <v>3702.51</v>
      </c>
      <c r="I9" s="1">
        <v>3964.65</v>
      </c>
      <c r="J9" s="1" t="s">
        <v>27</v>
      </c>
      <c r="K9" s="1">
        <v>0.12</v>
      </c>
      <c r="L9" s="1" t="s">
        <v>25</v>
      </c>
      <c r="M9" s="1" t="s">
        <v>19</v>
      </c>
      <c r="N9" s="1">
        <f>SUM(Table3[[#This Row],[Unit_Price]]-Table3[[#This Row],[Unit_Cost]])</f>
        <v>262.13999999999987</v>
      </c>
      <c r="O9" s="7"/>
      <c r="P9" s="7"/>
      <c r="Q9" s="7"/>
      <c r="S9"/>
    </row>
    <row r="10" spans="1:45" x14ac:dyDescent="0.3">
      <c r="A10" s="1">
        <v>1075</v>
      </c>
      <c r="B10" s="2">
        <v>45106</v>
      </c>
      <c r="C10" s="1" t="s">
        <v>22</v>
      </c>
      <c r="D10" s="1" t="s">
        <v>45</v>
      </c>
      <c r="E10" s="1">
        <v>4223.3900000000003</v>
      </c>
      <c r="F10" s="1">
        <v>30</v>
      </c>
      <c r="G10" s="1" t="s">
        <v>16</v>
      </c>
      <c r="H10" s="1">
        <v>738.06</v>
      </c>
      <c r="I10" s="1">
        <v>1095.44999999999</v>
      </c>
      <c r="J10" s="1" t="s">
        <v>27</v>
      </c>
      <c r="K10" s="1">
        <v>0.05</v>
      </c>
      <c r="L10" s="1" t="s">
        <v>25</v>
      </c>
      <c r="M10" s="1" t="s">
        <v>19</v>
      </c>
      <c r="N10" s="1">
        <f>SUM(Table3[[#This Row],[Unit_Price]]-Table3[[#This Row],[Unit_Cost]])</f>
        <v>357.3899999999901</v>
      </c>
      <c r="O10" s="7"/>
      <c r="P10" s="7"/>
      <c r="Q10" s="7"/>
      <c r="S10"/>
    </row>
    <row r="11" spans="1:45" x14ac:dyDescent="0.3">
      <c r="A11" s="1">
        <v>1075</v>
      </c>
      <c r="B11" s="2">
        <v>45208</v>
      </c>
      <c r="C11" s="1" t="s">
        <v>29</v>
      </c>
      <c r="D11" s="1" t="s">
        <v>46</v>
      </c>
      <c r="E11" s="1">
        <v>8239.58</v>
      </c>
      <c r="F11" s="1">
        <v>18</v>
      </c>
      <c r="G11" s="1" t="s">
        <v>26</v>
      </c>
      <c r="H11" s="1">
        <v>2228.35</v>
      </c>
      <c r="I11" s="1">
        <v>2682.34</v>
      </c>
      <c r="J11" s="1" t="s">
        <v>27</v>
      </c>
      <c r="K11" s="1">
        <v>0.13</v>
      </c>
      <c r="L11" s="1" t="s">
        <v>25</v>
      </c>
      <c r="M11" s="1" t="s">
        <v>19</v>
      </c>
      <c r="N11" s="1">
        <f>SUM(Table3[[#This Row],[Unit_Price]]-Table3[[#This Row],[Unit_Cost]])</f>
        <v>453.99000000000024</v>
      </c>
      <c r="O11" s="7"/>
      <c r="P11" s="7"/>
      <c r="Q11" s="7"/>
      <c r="S11"/>
    </row>
    <row r="12" spans="1:45" x14ac:dyDescent="0.3">
      <c r="A12" s="1">
        <v>1088</v>
      </c>
      <c r="B12" s="2">
        <v>45246</v>
      </c>
      <c r="C12" s="1" t="s">
        <v>32</v>
      </c>
      <c r="D12" s="1" t="s">
        <v>47</v>
      </c>
      <c r="E12" s="1">
        <v>8518.4500000000007</v>
      </c>
      <c r="F12" s="1">
        <v>13</v>
      </c>
      <c r="G12" s="1" t="s">
        <v>16</v>
      </c>
      <c r="H12" s="1">
        <v>2440.11</v>
      </c>
      <c r="I12" s="1">
        <v>2517.6</v>
      </c>
      <c r="J12" s="1" t="s">
        <v>27</v>
      </c>
      <c r="K12" s="1">
        <v>0.23</v>
      </c>
      <c r="L12" s="1" t="s">
        <v>25</v>
      </c>
      <c r="M12" s="1" t="s">
        <v>21</v>
      </c>
      <c r="N12" s="1">
        <f>SUM(Table3[[#This Row],[Unit_Price]]-Table3[[#This Row],[Unit_Cost]])</f>
        <v>77.489999999999782</v>
      </c>
      <c r="O12" s="7"/>
      <c r="P12" s="7"/>
      <c r="Q12" s="7"/>
      <c r="S12"/>
      <c r="AD12" s="3" t="s">
        <v>16</v>
      </c>
    </row>
    <row r="13" spans="1:45" x14ac:dyDescent="0.3">
      <c r="A13" s="1">
        <v>1100</v>
      </c>
      <c r="B13" s="2">
        <v>45152</v>
      </c>
      <c r="C13" s="1" t="s">
        <v>14</v>
      </c>
      <c r="D13" s="1" t="s">
        <v>48</v>
      </c>
      <c r="E13" s="1">
        <v>2198.7399999999998</v>
      </c>
      <c r="F13" s="1">
        <v>43</v>
      </c>
      <c r="G13" s="1" t="s">
        <v>24</v>
      </c>
      <c r="H13" s="1">
        <v>1100.81</v>
      </c>
      <c r="I13" s="1">
        <v>1137.44</v>
      </c>
      <c r="J13" s="1" t="s">
        <v>17</v>
      </c>
      <c r="K13" s="1">
        <v>0.08</v>
      </c>
      <c r="L13" s="1" t="s">
        <v>25</v>
      </c>
      <c r="M13" s="1" t="s">
        <v>19</v>
      </c>
      <c r="N13" s="1">
        <f>SUM(Table3[[#This Row],[Unit_Price]]-Table3[[#This Row],[Unit_Cost]])</f>
        <v>36.630000000000109</v>
      </c>
      <c r="O13" s="7"/>
      <c r="P13" s="7"/>
      <c r="Q13" s="7"/>
      <c r="S13"/>
      <c r="AD13" s="1">
        <f>COUNTIF(G2:G1001,G2)</f>
        <v>260</v>
      </c>
    </row>
    <row r="14" spans="1:45" x14ac:dyDescent="0.3">
      <c r="A14" s="1">
        <v>1024</v>
      </c>
      <c r="B14" s="2">
        <v>45241</v>
      </c>
      <c r="C14" s="1" t="s">
        <v>32</v>
      </c>
      <c r="D14" s="1" t="s">
        <v>49</v>
      </c>
      <c r="E14" s="1">
        <v>6607.8</v>
      </c>
      <c r="F14" s="1">
        <v>21</v>
      </c>
      <c r="G14" s="1" t="s">
        <v>24</v>
      </c>
      <c r="H14" s="1">
        <v>622.01</v>
      </c>
      <c r="I14" s="1">
        <v>641.09</v>
      </c>
      <c r="J14" s="1" t="s">
        <v>17</v>
      </c>
      <c r="K14" s="1">
        <v>0</v>
      </c>
      <c r="L14" s="1" t="s">
        <v>25</v>
      </c>
      <c r="M14" s="1" t="s">
        <v>21</v>
      </c>
      <c r="N14" s="1">
        <f>SUM(Table3[[#This Row],[Unit_Price]]-Table3[[#This Row],[Unit_Cost]])</f>
        <v>19.080000000000041</v>
      </c>
      <c r="O14" s="7"/>
      <c r="P14" s="7"/>
      <c r="Q14" s="7"/>
      <c r="S14"/>
      <c r="AD14" s="3" t="s">
        <v>24</v>
      </c>
    </row>
    <row r="15" spans="1:45" x14ac:dyDescent="0.3">
      <c r="A15" s="1">
        <v>1003</v>
      </c>
      <c r="B15" s="2">
        <v>45291</v>
      </c>
      <c r="C15" s="1" t="s">
        <v>33</v>
      </c>
      <c r="D15" s="1" t="s">
        <v>50</v>
      </c>
      <c r="E15" s="1">
        <v>4775.59</v>
      </c>
      <c r="F15" s="1">
        <v>30</v>
      </c>
      <c r="G15" s="1" t="s">
        <v>16</v>
      </c>
      <c r="H15" s="1">
        <v>4190.28</v>
      </c>
      <c r="I15" s="1">
        <v>4270.6499999999996</v>
      </c>
      <c r="J15" s="1" t="s">
        <v>27</v>
      </c>
      <c r="K15" s="1">
        <v>0.2</v>
      </c>
      <c r="L15" s="1" t="s">
        <v>18</v>
      </c>
      <c r="M15" s="1" t="s">
        <v>19</v>
      </c>
      <c r="N15" s="1">
        <f>SUM(Table3[[#This Row],[Unit_Price]]-Table3[[#This Row],[Unit_Cost]])</f>
        <v>80.369999999999891</v>
      </c>
      <c r="O15" s="7"/>
      <c r="P15" s="7"/>
      <c r="Q15" s="7"/>
      <c r="S15"/>
      <c r="AD15" s="1">
        <f>COUNTIF(F3:F1002,G4)</f>
        <v>0</v>
      </c>
    </row>
    <row r="16" spans="1:45" x14ac:dyDescent="0.3">
      <c r="A16" s="1">
        <v>1022</v>
      </c>
      <c r="B16" s="2">
        <v>45155</v>
      </c>
      <c r="C16" s="1" t="s">
        <v>29</v>
      </c>
      <c r="D16" s="1" t="s">
        <v>44</v>
      </c>
      <c r="E16" s="1">
        <v>8813.5499999999993</v>
      </c>
      <c r="F16" s="1">
        <v>21</v>
      </c>
      <c r="G16" s="1" t="s">
        <v>24</v>
      </c>
      <c r="H16" s="1">
        <v>2537.1999999999998</v>
      </c>
      <c r="I16" s="1">
        <v>2869.6</v>
      </c>
      <c r="J16" s="1" t="s">
        <v>27</v>
      </c>
      <c r="K16" s="1">
        <v>0.28999999999999998</v>
      </c>
      <c r="L16" s="1" t="s">
        <v>25</v>
      </c>
      <c r="M16" s="1" t="s">
        <v>21</v>
      </c>
      <c r="N16" s="1">
        <f>SUM(Table3[[#This Row],[Unit_Price]]-Table3[[#This Row],[Unit_Cost]])</f>
        <v>332.40000000000009</v>
      </c>
      <c r="O16" s="7"/>
      <c r="P16" s="7"/>
      <c r="Q16" s="7"/>
      <c r="S16"/>
      <c r="AD16" s="3" t="s">
        <v>26</v>
      </c>
    </row>
    <row r="17" spans="1:31" x14ac:dyDescent="0.3">
      <c r="A17" s="1">
        <v>1053</v>
      </c>
      <c r="B17" s="2">
        <v>45215</v>
      </c>
      <c r="C17" s="1" t="s">
        <v>14</v>
      </c>
      <c r="D17" s="1" t="s">
        <v>45</v>
      </c>
      <c r="E17" s="1">
        <v>2235.83</v>
      </c>
      <c r="F17" s="1">
        <v>48</v>
      </c>
      <c r="G17" s="1" t="s">
        <v>16</v>
      </c>
      <c r="H17" s="1">
        <v>121.19</v>
      </c>
      <c r="I17" s="1">
        <v>487.65</v>
      </c>
      <c r="J17" s="1" t="s">
        <v>27</v>
      </c>
      <c r="K17" s="1">
        <v>0.18</v>
      </c>
      <c r="L17" s="1" t="s">
        <v>18</v>
      </c>
      <c r="M17" s="1" t="s">
        <v>21</v>
      </c>
      <c r="N17" s="1">
        <f>SUM(Table3[[#This Row],[Unit_Price]]-Table3[[#This Row],[Unit_Cost]])</f>
        <v>366.46</v>
      </c>
      <c r="O17" s="7"/>
      <c r="P17" s="7"/>
      <c r="Q17" s="7"/>
      <c r="S17"/>
      <c r="AD17" s="1">
        <f>COUNTIF(F4:F1003,G5)</f>
        <v>0</v>
      </c>
    </row>
    <row r="18" spans="1:31" x14ac:dyDescent="0.3">
      <c r="A18" s="1">
        <v>1002</v>
      </c>
      <c r="B18" s="2">
        <v>45076</v>
      </c>
      <c r="C18" s="1" t="s">
        <v>22</v>
      </c>
      <c r="D18" s="1" t="s">
        <v>46</v>
      </c>
      <c r="E18" s="1">
        <v>6810.35</v>
      </c>
      <c r="F18" s="1">
        <v>17</v>
      </c>
      <c r="G18" s="1" t="s">
        <v>16</v>
      </c>
      <c r="H18" s="1">
        <v>4024.76</v>
      </c>
      <c r="I18" s="1">
        <v>4420.1499999999996</v>
      </c>
      <c r="J18" s="1" t="s">
        <v>17</v>
      </c>
      <c r="K18" s="1">
        <v>0.04</v>
      </c>
      <c r="L18" s="1" t="s">
        <v>18</v>
      </c>
      <c r="M18" s="1" t="s">
        <v>19</v>
      </c>
      <c r="N18" s="1">
        <f>SUM(Table3[[#This Row],[Unit_Price]]-Table3[[#This Row],[Unit_Cost]])</f>
        <v>395.38999999999942</v>
      </c>
      <c r="O18" s="7"/>
      <c r="P18" s="7"/>
      <c r="Q18" s="7"/>
      <c r="S18"/>
      <c r="AD18" s="3" t="s">
        <v>31</v>
      </c>
    </row>
    <row r="19" spans="1:31" x14ac:dyDescent="0.3">
      <c r="A19" s="1">
        <v>1088</v>
      </c>
      <c r="B19" s="2">
        <v>45203</v>
      </c>
      <c r="C19" s="1" t="s">
        <v>14</v>
      </c>
      <c r="D19" s="1" t="s">
        <v>47</v>
      </c>
      <c r="E19" s="1">
        <v>6116.75</v>
      </c>
      <c r="F19" s="1">
        <v>40</v>
      </c>
      <c r="G19" s="1" t="s">
        <v>31</v>
      </c>
      <c r="H19" s="1">
        <v>4904.93</v>
      </c>
      <c r="I19" s="1">
        <v>5034.3500000000004</v>
      </c>
      <c r="J19" s="1" t="s">
        <v>27</v>
      </c>
      <c r="K19" s="1">
        <v>0.1</v>
      </c>
      <c r="L19" s="1" t="s">
        <v>28</v>
      </c>
      <c r="M19" s="1" t="s">
        <v>21</v>
      </c>
      <c r="N19" s="1">
        <f>SUM(Table3[[#This Row],[Unit_Price]]-Table3[[#This Row],[Unit_Cost]])</f>
        <v>129.42000000000007</v>
      </c>
      <c r="O19" s="7"/>
      <c r="P19" s="7"/>
      <c r="Q19" s="7"/>
      <c r="S19"/>
      <c r="AD19" s="1">
        <f>COUNTIF(F5:F1004,G6)</f>
        <v>0</v>
      </c>
    </row>
    <row r="20" spans="1:31" x14ac:dyDescent="0.3">
      <c r="A20" s="1">
        <v>1030</v>
      </c>
      <c r="B20" s="2">
        <v>45124</v>
      </c>
      <c r="C20" s="1" t="s">
        <v>22</v>
      </c>
      <c r="D20" s="1" t="s">
        <v>48</v>
      </c>
      <c r="E20" s="1">
        <v>3023.48</v>
      </c>
      <c r="F20" s="1">
        <v>19</v>
      </c>
      <c r="G20" s="1" t="s">
        <v>26</v>
      </c>
      <c r="H20" s="1">
        <v>3049.33</v>
      </c>
      <c r="I20" s="1">
        <v>3209.22</v>
      </c>
      <c r="J20" s="1" t="s">
        <v>17</v>
      </c>
      <c r="K20" s="1">
        <v>0.26</v>
      </c>
      <c r="L20" s="1" t="s">
        <v>18</v>
      </c>
      <c r="M20" s="1" t="s">
        <v>19</v>
      </c>
      <c r="N20" s="1">
        <f>SUM(Table3[[#This Row],[Unit_Price]]-Table3[[#This Row],[Unit_Cost]])</f>
        <v>159.88999999999987</v>
      </c>
      <c r="O20" s="7"/>
      <c r="P20" s="7"/>
      <c r="Q20" s="7"/>
      <c r="S20"/>
    </row>
    <row r="21" spans="1:31" x14ac:dyDescent="0.3">
      <c r="A21" s="1">
        <v>1038</v>
      </c>
      <c r="B21" s="2">
        <v>44996</v>
      </c>
      <c r="C21" s="1" t="s">
        <v>14</v>
      </c>
      <c r="D21" s="1" t="s">
        <v>49</v>
      </c>
      <c r="E21" s="1">
        <v>1452.35</v>
      </c>
      <c r="F21" s="1">
        <v>15</v>
      </c>
      <c r="G21" s="1" t="s">
        <v>26</v>
      </c>
      <c r="H21" s="1">
        <v>2543.36</v>
      </c>
      <c r="I21" s="1">
        <v>2790.1</v>
      </c>
      <c r="J21" s="1" t="s">
        <v>17</v>
      </c>
      <c r="K21" s="1">
        <v>7.0000000000000007E-2</v>
      </c>
      <c r="L21" s="1" t="s">
        <v>18</v>
      </c>
      <c r="M21" s="1" t="s">
        <v>19</v>
      </c>
      <c r="N21" s="1">
        <f>SUM(Table3[[#This Row],[Unit_Price]]-Table3[[#This Row],[Unit_Cost]])</f>
        <v>246.73999999999978</v>
      </c>
      <c r="O21" s="7"/>
      <c r="P21" s="7"/>
      <c r="Q21" s="7"/>
      <c r="S21"/>
    </row>
    <row r="22" spans="1:31" x14ac:dyDescent="0.3">
      <c r="A22" s="1">
        <v>1002</v>
      </c>
      <c r="B22" s="2">
        <v>45038</v>
      </c>
      <c r="C22" s="1" t="s">
        <v>32</v>
      </c>
      <c r="D22" s="1" t="s">
        <v>50</v>
      </c>
      <c r="E22" s="1">
        <v>6551.23</v>
      </c>
      <c r="F22" s="1">
        <v>9</v>
      </c>
      <c r="G22" s="1" t="s">
        <v>31</v>
      </c>
      <c r="H22" s="1">
        <v>4398.16</v>
      </c>
      <c r="I22" s="1">
        <v>4439.12</v>
      </c>
      <c r="J22" s="1" t="s">
        <v>27</v>
      </c>
      <c r="K22" s="1">
        <v>0.18</v>
      </c>
      <c r="L22" s="1" t="s">
        <v>25</v>
      </c>
      <c r="M22" s="1" t="s">
        <v>19</v>
      </c>
      <c r="N22" s="1">
        <f>SUM(Table3[[#This Row],[Unit_Price]]-Table3[[#This Row],[Unit_Cost]])</f>
        <v>40.960000000000036</v>
      </c>
      <c r="O22" s="7"/>
      <c r="P22" s="7"/>
      <c r="Q22" s="7"/>
      <c r="S22"/>
      <c r="AD22" s="25" t="s">
        <v>16</v>
      </c>
      <c r="AE22" s="25"/>
    </row>
    <row r="23" spans="1:31" x14ac:dyDescent="0.3">
      <c r="A23" s="1">
        <v>1064</v>
      </c>
      <c r="B23" s="2">
        <v>44930</v>
      </c>
      <c r="C23" s="1" t="s">
        <v>32</v>
      </c>
      <c r="D23" s="1" t="s">
        <v>44</v>
      </c>
      <c r="E23" s="1">
        <v>7412.11</v>
      </c>
      <c r="F23" s="1">
        <v>10</v>
      </c>
      <c r="G23" s="1" t="s">
        <v>31</v>
      </c>
      <c r="H23" s="1">
        <v>4764.96</v>
      </c>
      <c r="I23" s="1">
        <v>5074.42</v>
      </c>
      <c r="J23" s="1" t="s">
        <v>27</v>
      </c>
      <c r="K23" s="1">
        <v>0.12</v>
      </c>
      <c r="L23" s="1" t="s">
        <v>18</v>
      </c>
      <c r="M23" s="1" t="s">
        <v>19</v>
      </c>
      <c r="N23" s="1">
        <f>SUM(Table3[[#This Row],[Unit_Price]]-Table3[[#This Row],[Unit_Cost]])</f>
        <v>309.46000000000004</v>
      </c>
      <c r="O23" s="7"/>
      <c r="P23" s="7"/>
      <c r="Q23" s="7"/>
      <c r="S23"/>
      <c r="AD23" s="1">
        <f>COUNTIFS(G2:G1001,G2,M2:M1001,M3)</f>
        <v>130</v>
      </c>
      <c r="AE23" s="1" t="s">
        <v>19</v>
      </c>
    </row>
    <row r="24" spans="1:31" x14ac:dyDescent="0.3">
      <c r="A24" s="1">
        <v>1060</v>
      </c>
      <c r="B24" s="2">
        <v>45276</v>
      </c>
      <c r="C24" s="1" t="s">
        <v>32</v>
      </c>
      <c r="D24" s="1" t="s">
        <v>45</v>
      </c>
      <c r="E24" s="1">
        <v>3224.71</v>
      </c>
      <c r="F24" s="1">
        <v>44</v>
      </c>
      <c r="G24" s="1" t="s">
        <v>26</v>
      </c>
      <c r="H24" s="1">
        <v>3784.96</v>
      </c>
      <c r="I24" s="1">
        <v>4276.99</v>
      </c>
      <c r="J24" s="1" t="s">
        <v>27</v>
      </c>
      <c r="K24" s="1">
        <v>0.06</v>
      </c>
      <c r="L24" s="1" t="s">
        <v>25</v>
      </c>
      <c r="M24" s="1" t="s">
        <v>21</v>
      </c>
      <c r="N24" s="1">
        <f>SUM(Table3[[#This Row],[Unit_Price]]-Table3[[#This Row],[Unit_Cost]])</f>
        <v>492.02999999999975</v>
      </c>
      <c r="O24" s="7"/>
      <c r="P24" s="7"/>
      <c r="Q24" s="7"/>
      <c r="S24"/>
      <c r="AD24" s="1">
        <f>COUNTIFS(F3:F1002,G3,L3:L1002,M12)</f>
        <v>0</v>
      </c>
      <c r="AE24" s="1" t="s">
        <v>21</v>
      </c>
    </row>
    <row r="25" spans="1:31" x14ac:dyDescent="0.3">
      <c r="A25" s="1">
        <v>1021</v>
      </c>
      <c r="B25" s="2">
        <v>45257</v>
      </c>
      <c r="C25" s="1" t="s">
        <v>33</v>
      </c>
      <c r="D25" s="1" t="s">
        <v>46</v>
      </c>
      <c r="E25" s="1">
        <v>6483.84</v>
      </c>
      <c r="F25" s="1">
        <v>31</v>
      </c>
      <c r="G25" s="1" t="s">
        <v>16</v>
      </c>
      <c r="H25" s="1">
        <v>2254.9899999999998</v>
      </c>
      <c r="I25" s="1">
        <v>2441.79</v>
      </c>
      <c r="J25" s="1" t="s">
        <v>17</v>
      </c>
      <c r="K25" s="1">
        <v>0.24</v>
      </c>
      <c r="L25" s="1" t="s">
        <v>25</v>
      </c>
      <c r="M25" s="1" t="s">
        <v>19</v>
      </c>
      <c r="N25" s="1">
        <f>SUM(Table3[[#This Row],[Unit_Price]]-Table3[[#This Row],[Unit_Cost]])</f>
        <v>186.80000000000018</v>
      </c>
      <c r="O25" s="7"/>
      <c r="P25" s="7"/>
      <c r="Q25" s="7"/>
      <c r="S25"/>
    </row>
    <row r="26" spans="1:31" x14ac:dyDescent="0.3">
      <c r="A26" s="1">
        <v>1033</v>
      </c>
      <c r="B26" s="2">
        <v>45244</v>
      </c>
      <c r="C26" s="1" t="s">
        <v>22</v>
      </c>
      <c r="D26" s="1" t="s">
        <v>47</v>
      </c>
      <c r="E26" s="1">
        <v>4011.8</v>
      </c>
      <c r="F26" s="1">
        <v>23</v>
      </c>
      <c r="G26" s="1" t="s">
        <v>16</v>
      </c>
      <c r="H26" s="1">
        <v>2981.5</v>
      </c>
      <c r="I26" s="1">
        <v>3360.4</v>
      </c>
      <c r="J26" s="1" t="s">
        <v>17</v>
      </c>
      <c r="K26" s="1">
        <v>0.22</v>
      </c>
      <c r="L26" s="1" t="s">
        <v>25</v>
      </c>
      <c r="M26" s="1" t="s">
        <v>21</v>
      </c>
      <c r="N26" s="1">
        <f>SUM(Table3[[#This Row],[Unit_Price]]-Table3[[#This Row],[Unit_Cost]])</f>
        <v>378.90000000000009</v>
      </c>
      <c r="O26" s="7"/>
      <c r="P26" s="7"/>
      <c r="Q26" s="7"/>
      <c r="S26"/>
      <c r="AD26" s="25" t="s">
        <v>36</v>
      </c>
      <c r="AE26" s="25"/>
    </row>
    <row r="27" spans="1:31" x14ac:dyDescent="0.3">
      <c r="A27" s="1">
        <v>1076</v>
      </c>
      <c r="B27" s="2">
        <v>45276</v>
      </c>
      <c r="C27" s="1" t="s">
        <v>32</v>
      </c>
      <c r="D27" s="1" t="s">
        <v>48</v>
      </c>
      <c r="E27" s="1">
        <v>7160.75</v>
      </c>
      <c r="F27" s="1">
        <v>30</v>
      </c>
      <c r="G27" s="1" t="s">
        <v>26</v>
      </c>
      <c r="H27" s="1">
        <v>3519.63</v>
      </c>
      <c r="I27" s="1">
        <v>3774.65</v>
      </c>
      <c r="J27" s="1" t="s">
        <v>27</v>
      </c>
      <c r="K27" s="1">
        <v>0.2</v>
      </c>
      <c r="L27" s="1" t="s">
        <v>28</v>
      </c>
      <c r="M27" s="1" t="s">
        <v>21</v>
      </c>
      <c r="N27" s="1">
        <f>SUM(Table3[[#This Row],[Unit_Price]]-Table3[[#This Row],[Unit_Cost]])</f>
        <v>255.01999999999998</v>
      </c>
      <c r="O27" s="7"/>
      <c r="P27" s="7"/>
      <c r="Q27" s="7"/>
      <c r="S27"/>
      <c r="AD27" s="1">
        <f>COUNTIFS(G2:G1001,G4,M2:M1001,M2)</f>
        <v>106</v>
      </c>
      <c r="AE27" s="1" t="s">
        <v>19</v>
      </c>
    </row>
    <row r="28" spans="1:31" x14ac:dyDescent="0.3">
      <c r="A28" s="1">
        <v>1058</v>
      </c>
      <c r="B28" s="2">
        <v>45021</v>
      </c>
      <c r="C28" s="1" t="s">
        <v>33</v>
      </c>
      <c r="D28" s="1" t="s">
        <v>49</v>
      </c>
      <c r="E28" s="1">
        <v>2072.23</v>
      </c>
      <c r="F28" s="1">
        <v>33</v>
      </c>
      <c r="G28" s="1" t="s">
        <v>16</v>
      </c>
      <c r="H28" s="1">
        <v>1011.65</v>
      </c>
      <c r="I28" s="1">
        <v>1084.28</v>
      </c>
      <c r="J28" s="1" t="s">
        <v>17</v>
      </c>
      <c r="K28" s="1">
        <v>7.0000000000000007E-2</v>
      </c>
      <c r="L28" s="1" t="s">
        <v>25</v>
      </c>
      <c r="M28" s="1" t="s">
        <v>21</v>
      </c>
      <c r="N28" s="1">
        <f>SUM(Table3[[#This Row],[Unit_Price]]-Table3[[#This Row],[Unit_Cost]])</f>
        <v>72.63</v>
      </c>
      <c r="O28" s="7"/>
      <c r="P28" s="7"/>
      <c r="Q28" s="7"/>
      <c r="S28"/>
      <c r="AD28" s="1">
        <f>COUNTIFS(F3:F1002,G4,L3:L1002,M3)</f>
        <v>0</v>
      </c>
      <c r="AE28" s="1" t="s">
        <v>21</v>
      </c>
    </row>
    <row r="29" spans="1:31" x14ac:dyDescent="0.3">
      <c r="A29" s="1">
        <v>1022</v>
      </c>
      <c r="B29" s="2">
        <v>45078</v>
      </c>
      <c r="C29" s="1" t="s">
        <v>22</v>
      </c>
      <c r="D29" s="1" t="s">
        <v>50</v>
      </c>
      <c r="E29" s="1">
        <v>8913.1299999999992</v>
      </c>
      <c r="F29" s="1">
        <v>9</v>
      </c>
      <c r="G29" s="1" t="s">
        <v>31</v>
      </c>
      <c r="H29" s="1">
        <v>2263.65</v>
      </c>
      <c r="I29" s="1">
        <v>2558.9499999999998</v>
      </c>
      <c r="J29" s="1" t="s">
        <v>27</v>
      </c>
      <c r="K29" s="1">
        <v>0.03</v>
      </c>
      <c r="L29" s="1" t="s">
        <v>18</v>
      </c>
      <c r="M29" s="1" t="s">
        <v>19</v>
      </c>
      <c r="N29" s="1">
        <f>SUM(Table3[[#This Row],[Unit_Price]]-Table3[[#This Row],[Unit_Cost]])</f>
        <v>295.29999999999973</v>
      </c>
      <c r="O29" s="7"/>
      <c r="P29" s="7"/>
      <c r="Q29" s="7"/>
      <c r="S29"/>
      <c r="AD29" s="1"/>
      <c r="AE29" s="1"/>
    </row>
    <row r="30" spans="1:31" x14ac:dyDescent="0.3">
      <c r="A30" s="1">
        <v>1089</v>
      </c>
      <c r="B30" s="2">
        <v>45237</v>
      </c>
      <c r="C30" s="1" t="s">
        <v>14</v>
      </c>
      <c r="D30" s="1" t="s">
        <v>44</v>
      </c>
      <c r="E30" s="1">
        <v>2945.36</v>
      </c>
      <c r="F30" s="1">
        <v>47</v>
      </c>
      <c r="G30" s="1" t="s">
        <v>16</v>
      </c>
      <c r="H30" s="1">
        <v>4157.62</v>
      </c>
      <c r="I30" s="1">
        <v>4314.5599999999904</v>
      </c>
      <c r="J30" s="1" t="s">
        <v>27</v>
      </c>
      <c r="K30" s="1">
        <v>0.17</v>
      </c>
      <c r="L30" s="1" t="s">
        <v>25</v>
      </c>
      <c r="M30" s="1" t="s">
        <v>21</v>
      </c>
      <c r="N30" s="1">
        <f>SUM(Table3[[#This Row],[Unit_Price]]-Table3[[#This Row],[Unit_Cost]])</f>
        <v>156.9399999999905</v>
      </c>
      <c r="O30" s="7"/>
      <c r="P30" s="7"/>
      <c r="Q30" s="7"/>
      <c r="S30"/>
      <c r="AD30" s="25" t="s">
        <v>26</v>
      </c>
      <c r="AE30" s="25"/>
    </row>
    <row r="31" spans="1:31" x14ac:dyDescent="0.3">
      <c r="A31" s="1">
        <v>1049</v>
      </c>
      <c r="B31" s="2">
        <v>45063</v>
      </c>
      <c r="C31" s="1" t="s">
        <v>33</v>
      </c>
      <c r="D31" s="1" t="s">
        <v>45</v>
      </c>
      <c r="E31" s="1">
        <v>3741.08</v>
      </c>
      <c r="F31" s="1">
        <v>1</v>
      </c>
      <c r="G31" s="1" t="s">
        <v>16</v>
      </c>
      <c r="H31" s="1">
        <v>3290.89</v>
      </c>
      <c r="I31" s="1">
        <v>3317.75</v>
      </c>
      <c r="J31" s="1" t="s">
        <v>17</v>
      </c>
      <c r="K31" s="1">
        <v>0.17</v>
      </c>
      <c r="L31" s="1" t="s">
        <v>25</v>
      </c>
      <c r="M31" s="1" t="s">
        <v>19</v>
      </c>
      <c r="N31" s="1">
        <f>SUM(Table3[[#This Row],[Unit_Price]]-Table3[[#This Row],[Unit_Cost]])</f>
        <v>26.860000000000127</v>
      </c>
      <c r="O31" s="7"/>
      <c r="P31" s="7"/>
      <c r="Q31" s="7"/>
      <c r="S31"/>
      <c r="AD31" s="1">
        <f>COUNTIFS(G2:G1001,G5,M2:M1001,M25)</f>
        <v>120</v>
      </c>
      <c r="AE31" s="1" t="s">
        <v>19</v>
      </c>
    </row>
    <row r="32" spans="1:31" x14ac:dyDescent="0.3">
      <c r="A32" s="1">
        <v>1091</v>
      </c>
      <c r="B32" s="2">
        <v>45173</v>
      </c>
      <c r="C32" s="1" t="s">
        <v>29</v>
      </c>
      <c r="D32" s="1" t="s">
        <v>46</v>
      </c>
      <c r="E32" s="1">
        <v>675.11</v>
      </c>
      <c r="F32" s="1">
        <v>44</v>
      </c>
      <c r="G32" s="1" t="s">
        <v>24</v>
      </c>
      <c r="H32" s="1">
        <v>2085.46</v>
      </c>
      <c r="I32" s="1">
        <v>2406.58</v>
      </c>
      <c r="J32" s="1" t="s">
        <v>17</v>
      </c>
      <c r="K32" s="1">
        <v>0.06</v>
      </c>
      <c r="L32" s="1" t="s">
        <v>25</v>
      </c>
      <c r="M32" s="1" t="s">
        <v>21</v>
      </c>
      <c r="N32" s="1">
        <f>SUM(Table3[[#This Row],[Unit_Price]]-Table3[[#This Row],[Unit_Cost]])</f>
        <v>321.11999999999989</v>
      </c>
      <c r="O32" s="7"/>
      <c r="P32" s="7"/>
      <c r="Q32" s="7"/>
      <c r="S32"/>
      <c r="AD32" s="1">
        <f>COUNTIFS(F3:F1002,G5,L3:L1002,M3)</f>
        <v>0</v>
      </c>
      <c r="AE32" s="1" t="s">
        <v>21</v>
      </c>
    </row>
    <row r="33" spans="1:31" x14ac:dyDescent="0.3">
      <c r="A33" s="1">
        <v>1059</v>
      </c>
      <c r="B33" s="2">
        <v>45169</v>
      </c>
      <c r="C33" s="1" t="s">
        <v>33</v>
      </c>
      <c r="D33" s="1" t="s">
        <v>47</v>
      </c>
      <c r="E33" s="1">
        <v>1203.97</v>
      </c>
      <c r="F33" s="1">
        <v>35</v>
      </c>
      <c r="G33" s="1" t="s">
        <v>24</v>
      </c>
      <c r="H33" s="1">
        <v>3333.64</v>
      </c>
      <c r="I33" s="1">
        <v>3764.52</v>
      </c>
      <c r="J33" s="1" t="s">
        <v>17</v>
      </c>
      <c r="K33" s="1">
        <v>0.02</v>
      </c>
      <c r="L33" s="1" t="s">
        <v>28</v>
      </c>
      <c r="M33" s="1" t="s">
        <v>19</v>
      </c>
      <c r="N33" s="1">
        <f>SUM(Table3[[#This Row],[Unit_Price]]-Table3[[#This Row],[Unit_Cost]])</f>
        <v>430.88000000000011</v>
      </c>
      <c r="O33" s="7"/>
      <c r="P33" s="7"/>
      <c r="Q33" s="7"/>
      <c r="S33"/>
      <c r="AD33" s="1"/>
      <c r="AE33" s="1"/>
    </row>
    <row r="34" spans="1:31" x14ac:dyDescent="0.3">
      <c r="A34" s="1">
        <v>1042</v>
      </c>
      <c r="B34" s="2">
        <v>44957</v>
      </c>
      <c r="C34" s="1" t="s">
        <v>33</v>
      </c>
      <c r="D34" s="1" t="s">
        <v>48</v>
      </c>
      <c r="E34" s="1">
        <v>5207.03</v>
      </c>
      <c r="F34" s="1">
        <v>11</v>
      </c>
      <c r="G34" s="1" t="s">
        <v>24</v>
      </c>
      <c r="H34" s="1">
        <v>635.20000000000005</v>
      </c>
      <c r="I34" s="1">
        <v>814.14</v>
      </c>
      <c r="J34" s="1" t="s">
        <v>17</v>
      </c>
      <c r="K34" s="1">
        <v>0.02</v>
      </c>
      <c r="L34" s="1" t="s">
        <v>18</v>
      </c>
      <c r="M34" s="1" t="s">
        <v>19</v>
      </c>
      <c r="N34" s="1">
        <f>SUM(Table3[[#This Row],[Unit_Price]]-Table3[[#This Row],[Unit_Cost]])</f>
        <v>178.93999999999994</v>
      </c>
      <c r="O34" s="7"/>
      <c r="P34" s="7"/>
      <c r="Q34" s="7"/>
      <c r="S34"/>
      <c r="AD34" s="25" t="s">
        <v>31</v>
      </c>
      <c r="AE34" s="25"/>
    </row>
    <row r="35" spans="1:31" x14ac:dyDescent="0.3">
      <c r="A35" s="1">
        <v>1092</v>
      </c>
      <c r="B35" s="2">
        <v>44966</v>
      </c>
      <c r="C35" s="1" t="s">
        <v>22</v>
      </c>
      <c r="D35" s="1" t="s">
        <v>49</v>
      </c>
      <c r="E35" s="1">
        <v>2749.17</v>
      </c>
      <c r="F35" s="1">
        <v>34</v>
      </c>
      <c r="G35" s="1" t="s">
        <v>16</v>
      </c>
      <c r="H35" s="1">
        <v>2037.41</v>
      </c>
      <c r="I35" s="1">
        <v>2238.65</v>
      </c>
      <c r="J35" s="1" t="s">
        <v>27</v>
      </c>
      <c r="K35" s="1">
        <v>0.3</v>
      </c>
      <c r="L35" s="1" t="s">
        <v>28</v>
      </c>
      <c r="M35" s="1" t="s">
        <v>19</v>
      </c>
      <c r="N35" s="1">
        <f>SUM(Table3[[#This Row],[Unit_Price]]-Table3[[#This Row],[Unit_Cost]])</f>
        <v>201.24</v>
      </c>
      <c r="O35" s="7"/>
      <c r="P35" s="7"/>
      <c r="Q35" s="7"/>
      <c r="S35"/>
      <c r="AD35" s="1">
        <f>COUNTIFS(G2:G1001,G6,M2:M1001,M2)</f>
        <v>132</v>
      </c>
      <c r="AE35" s="1" t="s">
        <v>19</v>
      </c>
    </row>
    <row r="36" spans="1:31" x14ac:dyDescent="0.3">
      <c r="A36" s="1">
        <v>1060</v>
      </c>
      <c r="B36" s="2">
        <v>45155</v>
      </c>
      <c r="C36" s="1" t="s">
        <v>14</v>
      </c>
      <c r="D36" s="1" t="s">
        <v>50</v>
      </c>
      <c r="E36" s="1">
        <v>8371.25</v>
      </c>
      <c r="F36" s="1">
        <v>16</v>
      </c>
      <c r="G36" s="1" t="s">
        <v>26</v>
      </c>
      <c r="H36" s="1">
        <v>3975.99</v>
      </c>
      <c r="I36" s="1">
        <v>4422.59</v>
      </c>
      <c r="J36" s="1" t="s">
        <v>27</v>
      </c>
      <c r="K36" s="1">
        <v>0.24</v>
      </c>
      <c r="L36" s="1" t="s">
        <v>18</v>
      </c>
      <c r="M36" s="1" t="s">
        <v>19</v>
      </c>
      <c r="N36" s="1">
        <f>SUM(Table3[[#This Row],[Unit_Price]]-Table3[[#This Row],[Unit_Cost]])</f>
        <v>446.60000000000036</v>
      </c>
      <c r="O36" s="7"/>
      <c r="P36" s="7"/>
      <c r="Q36" s="7"/>
      <c r="S36"/>
      <c r="AD36" s="1">
        <f>COUNTIFS(F3:F1002,G19,L3:L1002,M17)</f>
        <v>0</v>
      </c>
      <c r="AE36" s="1" t="s">
        <v>21</v>
      </c>
    </row>
    <row r="37" spans="1:31" x14ac:dyDescent="0.3">
      <c r="A37" s="1">
        <v>1080</v>
      </c>
      <c r="B37" s="2">
        <v>44962</v>
      </c>
      <c r="C37" s="1" t="s">
        <v>29</v>
      </c>
      <c r="D37" s="1" t="s">
        <v>44</v>
      </c>
      <c r="E37" s="1">
        <v>245.46</v>
      </c>
      <c r="F37" s="1">
        <v>9</v>
      </c>
      <c r="G37" s="1" t="s">
        <v>31</v>
      </c>
      <c r="H37" s="1">
        <v>1141.52</v>
      </c>
      <c r="I37" s="1">
        <v>1550.19</v>
      </c>
      <c r="J37" s="1" t="s">
        <v>27</v>
      </c>
      <c r="K37" s="1">
        <v>0.28000000000000003</v>
      </c>
      <c r="L37" s="1" t="s">
        <v>28</v>
      </c>
      <c r="M37" s="1" t="s">
        <v>21</v>
      </c>
      <c r="N37" s="1">
        <f>SUM(Table3[[#This Row],[Unit_Price]]-Table3[[#This Row],[Unit_Cost]])</f>
        <v>408.67000000000007</v>
      </c>
      <c r="O37" s="7"/>
      <c r="P37" s="7"/>
      <c r="Q37" s="7"/>
      <c r="S37"/>
      <c r="AD37" s="1"/>
      <c r="AE37" s="1"/>
    </row>
    <row r="38" spans="1:31" x14ac:dyDescent="0.3">
      <c r="A38" s="1">
        <v>1015</v>
      </c>
      <c r="B38" s="2">
        <v>45149</v>
      </c>
      <c r="C38" s="1" t="s">
        <v>32</v>
      </c>
      <c r="D38" s="1" t="s">
        <v>45</v>
      </c>
      <c r="E38" s="1">
        <v>3853.03</v>
      </c>
      <c r="F38" s="1">
        <v>32</v>
      </c>
      <c r="G38" s="1" t="s">
        <v>16</v>
      </c>
      <c r="H38" s="1">
        <v>970.51</v>
      </c>
      <c r="I38" s="1">
        <v>1330.84</v>
      </c>
      <c r="J38" s="1" t="s">
        <v>17</v>
      </c>
      <c r="K38" s="1">
        <v>0.06</v>
      </c>
      <c r="L38" s="1" t="s">
        <v>18</v>
      </c>
      <c r="M38" s="1" t="s">
        <v>21</v>
      </c>
      <c r="N38" s="1">
        <f>SUM(Table3[[#This Row],[Unit_Price]]-Table3[[#This Row],[Unit_Cost]])</f>
        <v>360.32999999999993</v>
      </c>
      <c r="O38" s="7"/>
      <c r="P38" s="7"/>
      <c r="Q38" s="7"/>
      <c r="S38"/>
      <c r="AD38" s="25" t="s">
        <v>37</v>
      </c>
      <c r="AE38" s="25"/>
    </row>
    <row r="39" spans="1:31" x14ac:dyDescent="0.3">
      <c r="A39" s="1">
        <v>1062</v>
      </c>
      <c r="B39" s="2">
        <v>44932</v>
      </c>
      <c r="C39" s="1" t="s">
        <v>32</v>
      </c>
      <c r="D39" s="1" t="s">
        <v>46</v>
      </c>
      <c r="E39" s="1">
        <v>3439.72</v>
      </c>
      <c r="F39" s="1">
        <v>15</v>
      </c>
      <c r="G39" s="1" t="s">
        <v>26</v>
      </c>
      <c r="H39" s="1">
        <v>4756.55</v>
      </c>
      <c r="I39" s="1">
        <v>4888.46</v>
      </c>
      <c r="J39" s="1" t="s">
        <v>27</v>
      </c>
      <c r="K39" s="1">
        <v>0.28999999999999998</v>
      </c>
      <c r="L39" s="1" t="s">
        <v>28</v>
      </c>
      <c r="M39" s="1" t="s">
        <v>19</v>
      </c>
      <c r="N39" s="1">
        <f>SUM(Table3[[#This Row],[Unit_Price]]-Table3[[#This Row],[Unit_Cost]])</f>
        <v>131.90999999999985</v>
      </c>
      <c r="O39" s="7"/>
      <c r="P39" s="7"/>
      <c r="Q39" s="7"/>
      <c r="S39"/>
      <c r="AD39" s="1" t="s">
        <v>15</v>
      </c>
      <c r="AE39" s="1" t="e">
        <f>COUNTIFS(C2:C1001,C2,#REF!,#REF!,G2:G1001,G2)</f>
        <v>#REF!</v>
      </c>
    </row>
    <row r="40" spans="1:31" x14ac:dyDescent="0.3">
      <c r="A40" s="1">
        <v>1062</v>
      </c>
      <c r="B40" s="2">
        <v>45248</v>
      </c>
      <c r="C40" s="1" t="s">
        <v>33</v>
      </c>
      <c r="D40" s="1" t="s">
        <v>47</v>
      </c>
      <c r="E40" s="1">
        <v>291.33999999999997</v>
      </c>
      <c r="F40" s="1">
        <v>12</v>
      </c>
      <c r="G40" s="1" t="s">
        <v>16</v>
      </c>
      <c r="H40" s="1">
        <v>1088.99</v>
      </c>
      <c r="I40" s="1">
        <v>1545</v>
      </c>
      <c r="J40" s="1" t="s">
        <v>17</v>
      </c>
      <c r="K40" s="1">
        <v>0.04</v>
      </c>
      <c r="L40" s="1" t="s">
        <v>25</v>
      </c>
      <c r="M40" s="1" t="s">
        <v>21</v>
      </c>
      <c r="N40" s="1">
        <f>SUM(Table3[[#This Row],[Unit_Price]]-Table3[[#This Row],[Unit_Cost]])</f>
        <v>456.01</v>
      </c>
      <c r="O40" s="7"/>
      <c r="P40" s="7"/>
      <c r="Q40" s="7"/>
      <c r="S40"/>
      <c r="AD40" s="1" t="s">
        <v>20</v>
      </c>
      <c r="AE40" s="1" t="e">
        <f>COUNTIFS(C3:C1002,C3,#REF!,#REF!,F3:F1002,G3)</f>
        <v>#REF!</v>
      </c>
    </row>
    <row r="41" spans="1:31" x14ac:dyDescent="0.3">
      <c r="A41" s="1">
        <v>1047</v>
      </c>
      <c r="B41" s="2">
        <v>45146</v>
      </c>
      <c r="C41" s="1" t="s">
        <v>22</v>
      </c>
      <c r="D41" s="1" t="s">
        <v>48</v>
      </c>
      <c r="E41" s="1">
        <v>1331.25</v>
      </c>
      <c r="F41" s="1">
        <v>33</v>
      </c>
      <c r="G41" s="1" t="s">
        <v>31</v>
      </c>
      <c r="H41" s="1">
        <v>1341.55</v>
      </c>
      <c r="I41" s="1">
        <v>1427.21</v>
      </c>
      <c r="J41" s="1" t="s">
        <v>17</v>
      </c>
      <c r="K41" s="1">
        <v>0.15</v>
      </c>
      <c r="L41" s="1" t="s">
        <v>28</v>
      </c>
      <c r="M41" s="1" t="s">
        <v>19</v>
      </c>
      <c r="N41" s="1">
        <f>SUM(Table3[[#This Row],[Unit_Price]]-Table3[[#This Row],[Unit_Cost]])</f>
        <v>85.660000000000082</v>
      </c>
      <c r="O41" s="7"/>
      <c r="P41" s="7"/>
      <c r="Q41" s="7"/>
      <c r="S41"/>
      <c r="AD41" s="1" t="s">
        <v>23</v>
      </c>
      <c r="AE41" s="1" t="e">
        <f>COUNTIFS(C4:C1003,C2,#REF!,#REF!,F4:F1003,G3)</f>
        <v>#REF!</v>
      </c>
    </row>
    <row r="42" spans="1:31" x14ac:dyDescent="0.3">
      <c r="A42" s="1">
        <v>1062</v>
      </c>
      <c r="B42" s="2">
        <v>45001</v>
      </c>
      <c r="C42" s="1" t="s">
        <v>22</v>
      </c>
      <c r="D42" s="1" t="s">
        <v>49</v>
      </c>
      <c r="E42" s="1">
        <v>4195.0600000000004</v>
      </c>
      <c r="F42" s="1">
        <v>45</v>
      </c>
      <c r="G42" s="1" t="s">
        <v>16</v>
      </c>
      <c r="H42" s="1">
        <v>4849.6000000000004</v>
      </c>
      <c r="I42" s="1">
        <v>5166.72</v>
      </c>
      <c r="J42" s="1" t="s">
        <v>17</v>
      </c>
      <c r="K42" s="1">
        <v>0.25</v>
      </c>
      <c r="L42" s="1" t="s">
        <v>28</v>
      </c>
      <c r="M42" s="1" t="s">
        <v>19</v>
      </c>
      <c r="N42" s="1">
        <f>SUM(Table3[[#This Row],[Unit_Price]]-Table3[[#This Row],[Unit_Cost]])</f>
        <v>317.11999999999989</v>
      </c>
      <c r="O42" s="7"/>
      <c r="P42" s="7"/>
      <c r="Q42" s="7"/>
      <c r="S42"/>
      <c r="AD42" s="1" t="s">
        <v>30</v>
      </c>
      <c r="AE42" s="1" t="e">
        <f>COUNTIFS(C5:C1004,C5,#REF!,#REF!,F5:F1004,G2)</f>
        <v>#REF!</v>
      </c>
    </row>
    <row r="43" spans="1:31" x14ac:dyDescent="0.3">
      <c r="A43" s="1">
        <v>1051</v>
      </c>
      <c r="B43" s="2">
        <v>44930</v>
      </c>
      <c r="C43" s="1" t="s">
        <v>32</v>
      </c>
      <c r="D43" s="1" t="s">
        <v>50</v>
      </c>
      <c r="E43" s="1">
        <v>4979.3599999999997</v>
      </c>
      <c r="F43" s="1">
        <v>14</v>
      </c>
      <c r="G43" s="1" t="s">
        <v>31</v>
      </c>
      <c r="H43" s="1">
        <v>3686.81</v>
      </c>
      <c r="I43" s="1">
        <v>3710.92</v>
      </c>
      <c r="J43" s="1" t="s">
        <v>27</v>
      </c>
      <c r="K43" s="1">
        <v>0.1</v>
      </c>
      <c r="L43" s="1" t="s">
        <v>25</v>
      </c>
      <c r="M43" s="1" t="s">
        <v>21</v>
      </c>
      <c r="N43" s="1">
        <f>SUM(Table3[[#This Row],[Unit_Price]]-Table3[[#This Row],[Unit_Cost]])</f>
        <v>24.110000000000127</v>
      </c>
      <c r="O43" s="7"/>
      <c r="P43" s="7"/>
      <c r="Q43" s="7"/>
      <c r="S43"/>
    </row>
    <row r="44" spans="1:31" x14ac:dyDescent="0.3">
      <c r="A44" s="1">
        <v>1055</v>
      </c>
      <c r="B44" s="2">
        <v>45261</v>
      </c>
      <c r="C44" s="1" t="s">
        <v>29</v>
      </c>
      <c r="D44" s="1" t="s">
        <v>44</v>
      </c>
      <c r="E44" s="1">
        <v>4102.47</v>
      </c>
      <c r="F44" s="1">
        <v>8</v>
      </c>
      <c r="G44" s="1" t="s">
        <v>16</v>
      </c>
      <c r="H44" s="1">
        <v>3513</v>
      </c>
      <c r="I44" s="1">
        <v>3838.42</v>
      </c>
      <c r="J44" s="1" t="s">
        <v>17</v>
      </c>
      <c r="K44" s="1">
        <v>0.13</v>
      </c>
      <c r="L44" s="1" t="s">
        <v>25</v>
      </c>
      <c r="M44" s="1" t="s">
        <v>19</v>
      </c>
      <c r="N44" s="1">
        <f>SUM(Table3[[#This Row],[Unit_Price]]-Table3[[#This Row],[Unit_Cost]])</f>
        <v>325.42000000000007</v>
      </c>
      <c r="O44" s="7"/>
      <c r="P44" s="7"/>
      <c r="Q44" s="7"/>
      <c r="S44"/>
    </row>
    <row r="45" spans="1:31" x14ac:dyDescent="0.3">
      <c r="A45" s="1">
        <v>1064</v>
      </c>
      <c r="B45" s="2">
        <v>45060</v>
      </c>
      <c r="C45" s="1" t="s">
        <v>14</v>
      </c>
      <c r="D45" s="1" t="s">
        <v>45</v>
      </c>
      <c r="E45" s="1">
        <v>5356.28</v>
      </c>
      <c r="F45" s="1">
        <v>8</v>
      </c>
      <c r="G45" s="1" t="s">
        <v>31</v>
      </c>
      <c r="H45" s="1">
        <v>4271.99</v>
      </c>
      <c r="I45" s="1">
        <v>4417.79</v>
      </c>
      <c r="J45" s="1" t="s">
        <v>17</v>
      </c>
      <c r="K45" s="1">
        <v>0.04</v>
      </c>
      <c r="L45" s="1" t="s">
        <v>18</v>
      </c>
      <c r="M45" s="1" t="s">
        <v>19</v>
      </c>
      <c r="N45" s="1">
        <f>SUM(Table3[[#This Row],[Unit_Price]]-Table3[[#This Row],[Unit_Cost]])</f>
        <v>145.80000000000018</v>
      </c>
      <c r="O45" s="7"/>
      <c r="P45" s="7"/>
      <c r="Q45" s="7"/>
      <c r="S45"/>
    </row>
    <row r="46" spans="1:31" x14ac:dyDescent="0.3">
      <c r="A46" s="1">
        <v>1003</v>
      </c>
      <c r="B46" s="2">
        <v>45044</v>
      </c>
      <c r="C46" s="1" t="s">
        <v>29</v>
      </c>
      <c r="D46" s="1" t="s">
        <v>46</v>
      </c>
      <c r="E46" s="1">
        <v>5991.8</v>
      </c>
      <c r="F46" s="1">
        <v>27</v>
      </c>
      <c r="G46" s="1" t="s">
        <v>16</v>
      </c>
      <c r="H46" s="1">
        <v>623.32000000000005</v>
      </c>
      <c r="I46" s="1">
        <v>853.66</v>
      </c>
      <c r="J46" s="1" t="s">
        <v>17</v>
      </c>
      <c r="K46" s="1">
        <v>0.04</v>
      </c>
      <c r="L46" s="1" t="s">
        <v>18</v>
      </c>
      <c r="M46" s="1" t="s">
        <v>19</v>
      </c>
      <c r="N46" s="1">
        <f>SUM(Table3[[#This Row],[Unit_Price]]-Table3[[#This Row],[Unit_Cost]])</f>
        <v>230.33999999999992</v>
      </c>
      <c r="O46" s="7"/>
      <c r="P46" s="7"/>
      <c r="Q46" s="7"/>
      <c r="S46"/>
    </row>
    <row r="47" spans="1:31" x14ac:dyDescent="0.3">
      <c r="A47" s="1">
        <v>1051</v>
      </c>
      <c r="B47" s="2">
        <v>45020</v>
      </c>
      <c r="C47" s="1" t="s">
        <v>14</v>
      </c>
      <c r="D47" s="1" t="s">
        <v>47</v>
      </c>
      <c r="E47" s="1">
        <v>198.25</v>
      </c>
      <c r="F47" s="1">
        <v>12</v>
      </c>
      <c r="G47" s="1" t="s">
        <v>31</v>
      </c>
      <c r="H47" s="1">
        <v>3544.48</v>
      </c>
      <c r="I47" s="1">
        <v>3723.66</v>
      </c>
      <c r="J47" s="1" t="s">
        <v>17</v>
      </c>
      <c r="K47" s="1">
        <v>0.19</v>
      </c>
      <c r="L47" s="1" t="s">
        <v>18</v>
      </c>
      <c r="M47" s="1" t="s">
        <v>19</v>
      </c>
      <c r="N47" s="1">
        <f>SUM(Table3[[#This Row],[Unit_Price]]-Table3[[#This Row],[Unit_Cost]])</f>
        <v>179.17999999999984</v>
      </c>
      <c r="O47" s="7"/>
      <c r="P47" s="7"/>
      <c r="Q47" s="7"/>
      <c r="S47"/>
    </row>
    <row r="48" spans="1:31" x14ac:dyDescent="0.3">
      <c r="A48" s="1">
        <v>1007</v>
      </c>
      <c r="B48" s="2">
        <v>44988</v>
      </c>
      <c r="C48" s="1" t="s">
        <v>32</v>
      </c>
      <c r="D48" s="1" t="s">
        <v>48</v>
      </c>
      <c r="E48" s="1">
        <v>4694.54</v>
      </c>
      <c r="F48" s="1">
        <v>1</v>
      </c>
      <c r="G48" s="1" t="s">
        <v>24</v>
      </c>
      <c r="H48" s="1">
        <v>2543.2600000000002</v>
      </c>
      <c r="I48" s="1">
        <v>2637.91</v>
      </c>
      <c r="J48" s="1" t="s">
        <v>17</v>
      </c>
      <c r="K48" s="1">
        <v>0.2</v>
      </c>
      <c r="L48" s="1" t="s">
        <v>28</v>
      </c>
      <c r="M48" s="1" t="s">
        <v>19</v>
      </c>
      <c r="N48" s="1">
        <f>SUM(Table3[[#This Row],[Unit_Price]]-Table3[[#This Row],[Unit_Cost]])</f>
        <v>94.649999999999636</v>
      </c>
      <c r="O48" s="7"/>
      <c r="P48" s="7"/>
      <c r="Q48" s="7"/>
      <c r="S48"/>
    </row>
    <row r="49" spans="1:19" x14ac:dyDescent="0.3">
      <c r="A49" s="1">
        <v>1021</v>
      </c>
      <c r="B49" s="2">
        <v>45120</v>
      </c>
      <c r="C49" s="1" t="s">
        <v>14</v>
      </c>
      <c r="D49" s="1" t="s">
        <v>49</v>
      </c>
      <c r="E49" s="1">
        <v>9638.64</v>
      </c>
      <c r="F49" s="1">
        <v>43</v>
      </c>
      <c r="G49" s="1" t="s">
        <v>16</v>
      </c>
      <c r="H49" s="1">
        <v>4154.3</v>
      </c>
      <c r="I49" s="1">
        <v>4469.07</v>
      </c>
      <c r="J49" s="1" t="s">
        <v>17</v>
      </c>
      <c r="K49" s="1">
        <v>0.23</v>
      </c>
      <c r="L49" s="1" t="s">
        <v>18</v>
      </c>
      <c r="M49" s="1" t="s">
        <v>21</v>
      </c>
      <c r="N49" s="1">
        <f>SUM(Table3[[#This Row],[Unit_Price]]-Table3[[#This Row],[Unit_Cost]])</f>
        <v>314.76999999999953</v>
      </c>
      <c r="O49" s="7"/>
      <c r="P49" s="7"/>
      <c r="Q49" s="7"/>
      <c r="S49"/>
    </row>
    <row r="50" spans="1:19" x14ac:dyDescent="0.3">
      <c r="A50" s="1">
        <v>1073</v>
      </c>
      <c r="B50" s="2">
        <v>45261</v>
      </c>
      <c r="C50" s="1" t="s">
        <v>22</v>
      </c>
      <c r="D50" s="1" t="s">
        <v>50</v>
      </c>
      <c r="E50" s="1">
        <v>5238.42</v>
      </c>
      <c r="F50" s="1">
        <v>40</v>
      </c>
      <c r="G50" s="1" t="s">
        <v>16</v>
      </c>
      <c r="H50" s="1">
        <v>2565.3000000000002</v>
      </c>
      <c r="I50" s="1">
        <v>3007.47</v>
      </c>
      <c r="J50" s="1" t="s">
        <v>17</v>
      </c>
      <c r="K50" s="1">
        <v>0.17</v>
      </c>
      <c r="L50" s="1" t="s">
        <v>28</v>
      </c>
      <c r="M50" s="1" t="s">
        <v>21</v>
      </c>
      <c r="N50" s="1">
        <f>SUM(Table3[[#This Row],[Unit_Price]]-Table3[[#This Row],[Unit_Cost]])</f>
        <v>442.16999999999962</v>
      </c>
      <c r="O50" s="7"/>
      <c r="P50" s="7"/>
      <c r="Q50" s="7"/>
      <c r="S50"/>
    </row>
    <row r="51" spans="1:19" x14ac:dyDescent="0.3">
      <c r="A51" s="1">
        <v>1039</v>
      </c>
      <c r="B51" s="2">
        <v>45129</v>
      </c>
      <c r="C51" s="1" t="s">
        <v>33</v>
      </c>
      <c r="D51" s="1" t="s">
        <v>44</v>
      </c>
      <c r="E51" s="1">
        <v>6807.67</v>
      </c>
      <c r="F51" s="1">
        <v>42</v>
      </c>
      <c r="G51" s="1" t="s">
        <v>26</v>
      </c>
      <c r="H51" s="1">
        <v>3120.19</v>
      </c>
      <c r="I51" s="1">
        <v>3600.14</v>
      </c>
      <c r="J51" s="1" t="s">
        <v>17</v>
      </c>
      <c r="K51" s="1">
        <v>0.19</v>
      </c>
      <c r="L51" s="1" t="s">
        <v>28</v>
      </c>
      <c r="M51" s="1" t="s">
        <v>21</v>
      </c>
      <c r="N51" s="1">
        <f>SUM(Table3[[#This Row],[Unit_Price]]-Table3[[#This Row],[Unit_Cost]])</f>
        <v>479.94999999999982</v>
      </c>
      <c r="O51" s="7"/>
      <c r="P51" s="7"/>
      <c r="Q51" s="7"/>
      <c r="S51"/>
    </row>
    <row r="52" spans="1:19" x14ac:dyDescent="0.3">
      <c r="A52" s="1">
        <v>1018</v>
      </c>
      <c r="B52" s="2">
        <v>44952</v>
      </c>
      <c r="C52" s="1" t="s">
        <v>33</v>
      </c>
      <c r="D52" s="1" t="s">
        <v>45</v>
      </c>
      <c r="E52" s="1">
        <v>3187.45</v>
      </c>
      <c r="F52" s="1">
        <v>11</v>
      </c>
      <c r="G52" s="1" t="s">
        <v>26</v>
      </c>
      <c r="H52" s="1">
        <v>2414.8200000000002</v>
      </c>
      <c r="I52" s="1">
        <v>2519.0700000000002</v>
      </c>
      <c r="J52" s="1" t="s">
        <v>17</v>
      </c>
      <c r="K52" s="1">
        <v>0</v>
      </c>
      <c r="L52" s="1" t="s">
        <v>18</v>
      </c>
      <c r="M52" s="1" t="s">
        <v>19</v>
      </c>
      <c r="N52" s="1">
        <f>SUM(Table3[[#This Row],[Unit_Price]]-Table3[[#This Row],[Unit_Cost]])</f>
        <v>104.25</v>
      </c>
      <c r="O52" s="7"/>
      <c r="P52" s="7"/>
      <c r="Q52" s="7"/>
      <c r="S52"/>
    </row>
    <row r="53" spans="1:19" x14ac:dyDescent="0.3">
      <c r="A53" s="1">
        <v>1004</v>
      </c>
      <c r="B53" s="2">
        <v>45099</v>
      </c>
      <c r="C53" s="1" t="s">
        <v>32</v>
      </c>
      <c r="D53" s="1" t="s">
        <v>46</v>
      </c>
      <c r="E53" s="1">
        <v>7762.51</v>
      </c>
      <c r="F53" s="1">
        <v>39</v>
      </c>
      <c r="G53" s="1" t="s">
        <v>31</v>
      </c>
      <c r="H53" s="1">
        <v>2416.89</v>
      </c>
      <c r="I53" s="1">
        <v>2778.3999999999901</v>
      </c>
      <c r="J53" s="1" t="s">
        <v>17</v>
      </c>
      <c r="K53" s="1">
        <v>0.05</v>
      </c>
      <c r="L53" s="1" t="s">
        <v>18</v>
      </c>
      <c r="M53" s="1" t="s">
        <v>19</v>
      </c>
      <c r="N53" s="1">
        <f>SUM(Table3[[#This Row],[Unit_Price]]-Table3[[#This Row],[Unit_Cost]])</f>
        <v>361.50999999999021</v>
      </c>
      <c r="O53" s="7"/>
      <c r="P53" s="7"/>
      <c r="Q53" s="7"/>
      <c r="S53"/>
    </row>
    <row r="54" spans="1:19" x14ac:dyDescent="0.3">
      <c r="A54" s="1">
        <v>1089</v>
      </c>
      <c r="B54" s="2">
        <v>45226</v>
      </c>
      <c r="C54" s="1" t="s">
        <v>22</v>
      </c>
      <c r="D54" s="1" t="s">
        <v>47</v>
      </c>
      <c r="E54" s="1">
        <v>7751.92</v>
      </c>
      <c r="F54" s="1">
        <v>43</v>
      </c>
      <c r="G54" s="1" t="s">
        <v>16</v>
      </c>
      <c r="H54" s="1">
        <v>3851.45</v>
      </c>
      <c r="I54" s="1">
        <v>4186.9799999999996</v>
      </c>
      <c r="J54" s="1" t="s">
        <v>17</v>
      </c>
      <c r="K54" s="1">
        <v>0.3</v>
      </c>
      <c r="L54" s="1" t="s">
        <v>28</v>
      </c>
      <c r="M54" s="1" t="s">
        <v>19</v>
      </c>
      <c r="N54" s="1">
        <f>SUM(Table3[[#This Row],[Unit_Price]]-Table3[[#This Row],[Unit_Cost]])</f>
        <v>335.52999999999975</v>
      </c>
      <c r="O54" s="7"/>
      <c r="P54" s="7"/>
      <c r="Q54" s="7"/>
      <c r="S54"/>
    </row>
    <row r="55" spans="1:19" x14ac:dyDescent="0.3">
      <c r="A55" s="1">
        <v>1060</v>
      </c>
      <c r="B55" s="2">
        <v>45059</v>
      </c>
      <c r="C55" s="1" t="s">
        <v>29</v>
      </c>
      <c r="D55" s="1" t="s">
        <v>48</v>
      </c>
      <c r="E55" s="1">
        <v>5260.83</v>
      </c>
      <c r="F55" s="1">
        <v>31</v>
      </c>
      <c r="G55" s="1" t="s">
        <v>31</v>
      </c>
      <c r="H55" s="1">
        <v>3161.4</v>
      </c>
      <c r="I55" s="1">
        <v>3339.66</v>
      </c>
      <c r="J55" s="1" t="s">
        <v>17</v>
      </c>
      <c r="K55" s="1">
        <v>0.02</v>
      </c>
      <c r="L55" s="1" t="s">
        <v>25</v>
      </c>
      <c r="M55" s="1" t="s">
        <v>19</v>
      </c>
      <c r="N55" s="1">
        <f>SUM(Table3[[#This Row],[Unit_Price]]-Table3[[#This Row],[Unit_Cost]])</f>
        <v>178.25999999999976</v>
      </c>
      <c r="O55" s="7"/>
      <c r="P55" s="7"/>
      <c r="Q55" s="7"/>
      <c r="S55"/>
    </row>
    <row r="56" spans="1:19" x14ac:dyDescent="0.3">
      <c r="A56" s="1">
        <v>1014</v>
      </c>
      <c r="B56" s="2">
        <v>45252</v>
      </c>
      <c r="C56" s="1" t="s">
        <v>22</v>
      </c>
      <c r="D56" s="1" t="s">
        <v>49</v>
      </c>
      <c r="E56" s="1">
        <v>9762.5400000000009</v>
      </c>
      <c r="F56" s="1">
        <v>17</v>
      </c>
      <c r="G56" s="1" t="s">
        <v>24</v>
      </c>
      <c r="H56" s="1">
        <v>3184.65</v>
      </c>
      <c r="I56" s="1">
        <v>3204.01</v>
      </c>
      <c r="J56" s="1" t="s">
        <v>27</v>
      </c>
      <c r="K56" s="1">
        <v>0.2</v>
      </c>
      <c r="L56" s="1" t="s">
        <v>25</v>
      </c>
      <c r="M56" s="1" t="s">
        <v>19</v>
      </c>
      <c r="N56" s="1">
        <f>SUM(Table3[[#This Row],[Unit_Price]]-Table3[[#This Row],[Unit_Cost]])</f>
        <v>19.360000000000127</v>
      </c>
      <c r="O56" s="7"/>
      <c r="P56" s="7"/>
      <c r="Q56" s="7"/>
      <c r="S56"/>
    </row>
    <row r="57" spans="1:19" x14ac:dyDescent="0.3">
      <c r="A57" s="1">
        <v>1009</v>
      </c>
      <c r="B57" s="2">
        <v>45044</v>
      </c>
      <c r="C57" s="1" t="s">
        <v>33</v>
      </c>
      <c r="D57" s="1" t="s">
        <v>50</v>
      </c>
      <c r="E57" s="1">
        <v>1342.95</v>
      </c>
      <c r="F57" s="1">
        <v>33</v>
      </c>
      <c r="G57" s="1" t="s">
        <v>26</v>
      </c>
      <c r="H57" s="1">
        <v>2278.9</v>
      </c>
      <c r="I57" s="1">
        <v>2626.9</v>
      </c>
      <c r="J57" s="1" t="s">
        <v>27</v>
      </c>
      <c r="K57" s="1">
        <v>0.05</v>
      </c>
      <c r="L57" s="1" t="s">
        <v>28</v>
      </c>
      <c r="M57" s="1" t="s">
        <v>19</v>
      </c>
      <c r="N57" s="1">
        <f>SUM(Table3[[#This Row],[Unit_Price]]-Table3[[#This Row],[Unit_Cost]])</f>
        <v>348</v>
      </c>
      <c r="O57" s="7"/>
      <c r="P57" s="7"/>
      <c r="Q57" s="7"/>
      <c r="S57"/>
    </row>
    <row r="58" spans="1:19" x14ac:dyDescent="0.3">
      <c r="A58" s="1">
        <v>1090</v>
      </c>
      <c r="B58" s="2">
        <v>45250</v>
      </c>
      <c r="C58" s="1" t="s">
        <v>33</v>
      </c>
      <c r="D58" s="1" t="s">
        <v>44</v>
      </c>
      <c r="E58" s="1">
        <v>267.77999999999997</v>
      </c>
      <c r="F58" s="1">
        <v>32</v>
      </c>
      <c r="G58" s="1" t="s">
        <v>31</v>
      </c>
      <c r="H58" s="1">
        <v>2678.99</v>
      </c>
      <c r="I58" s="1">
        <v>3152.2799999999902</v>
      </c>
      <c r="J58" s="1" t="s">
        <v>17</v>
      </c>
      <c r="K58" s="1">
        <v>0.22</v>
      </c>
      <c r="L58" s="1" t="s">
        <v>18</v>
      </c>
      <c r="M58" s="1" t="s">
        <v>21</v>
      </c>
      <c r="N58" s="1">
        <f>SUM(Table3[[#This Row],[Unit_Price]]-Table3[[#This Row],[Unit_Cost]])</f>
        <v>473.28999999999041</v>
      </c>
      <c r="O58" s="7"/>
      <c r="P58" s="7"/>
      <c r="Q58" s="7"/>
      <c r="S58"/>
    </row>
    <row r="59" spans="1:19" x14ac:dyDescent="0.3">
      <c r="A59" s="1">
        <v>1053</v>
      </c>
      <c r="B59" s="2">
        <v>45201</v>
      </c>
      <c r="C59" s="1" t="s">
        <v>22</v>
      </c>
      <c r="D59" s="1" t="s">
        <v>45</v>
      </c>
      <c r="E59" s="1">
        <v>7724.57</v>
      </c>
      <c r="F59" s="1">
        <v>29</v>
      </c>
      <c r="G59" s="1" t="s">
        <v>31</v>
      </c>
      <c r="H59" s="1">
        <v>3741.3</v>
      </c>
      <c r="I59" s="1">
        <v>4061.04</v>
      </c>
      <c r="J59" s="1" t="s">
        <v>17</v>
      </c>
      <c r="K59" s="1">
        <v>0.21</v>
      </c>
      <c r="L59" s="1" t="s">
        <v>28</v>
      </c>
      <c r="M59" s="1" t="s">
        <v>19</v>
      </c>
      <c r="N59" s="1">
        <f>SUM(Table3[[#This Row],[Unit_Price]]-Table3[[#This Row],[Unit_Cost]])</f>
        <v>319.73999999999978</v>
      </c>
      <c r="O59" s="7"/>
      <c r="P59" s="7"/>
      <c r="Q59" s="7"/>
      <c r="S59"/>
    </row>
    <row r="60" spans="1:19" x14ac:dyDescent="0.3">
      <c r="A60" s="1">
        <v>1002</v>
      </c>
      <c r="B60" s="2">
        <v>45138</v>
      </c>
      <c r="C60" s="1" t="s">
        <v>22</v>
      </c>
      <c r="D60" s="1" t="s">
        <v>46</v>
      </c>
      <c r="E60" s="1">
        <v>8090.84</v>
      </c>
      <c r="F60" s="1">
        <v>21</v>
      </c>
      <c r="G60" s="1" t="s">
        <v>26</v>
      </c>
      <c r="H60" s="1">
        <v>4138.41</v>
      </c>
      <c r="I60" s="1">
        <v>4361.7</v>
      </c>
      <c r="J60" s="1" t="s">
        <v>17</v>
      </c>
      <c r="K60" s="1">
        <v>7.0000000000000007E-2</v>
      </c>
      <c r="L60" s="1" t="s">
        <v>28</v>
      </c>
      <c r="M60" s="1" t="s">
        <v>21</v>
      </c>
      <c r="N60" s="1">
        <f>SUM(Table3[[#This Row],[Unit_Price]]-Table3[[#This Row],[Unit_Cost]])</f>
        <v>223.28999999999996</v>
      </c>
      <c r="O60" s="7"/>
      <c r="P60" s="7"/>
      <c r="Q60" s="7"/>
      <c r="S60"/>
    </row>
    <row r="61" spans="1:19" x14ac:dyDescent="0.3">
      <c r="A61" s="1">
        <v>1084</v>
      </c>
      <c r="B61" s="2">
        <v>45151</v>
      </c>
      <c r="C61" s="1" t="s">
        <v>33</v>
      </c>
      <c r="D61" s="1" t="s">
        <v>47</v>
      </c>
      <c r="E61" s="1">
        <v>1290.05</v>
      </c>
      <c r="F61" s="1">
        <v>21</v>
      </c>
      <c r="G61" s="1" t="s">
        <v>16</v>
      </c>
      <c r="H61" s="1">
        <v>3497.98</v>
      </c>
      <c r="I61" s="1">
        <v>3765.31</v>
      </c>
      <c r="J61" s="1" t="s">
        <v>27</v>
      </c>
      <c r="K61" s="1">
        <v>0.08</v>
      </c>
      <c r="L61" s="1" t="s">
        <v>18</v>
      </c>
      <c r="M61" s="1" t="s">
        <v>19</v>
      </c>
      <c r="N61" s="1">
        <f>SUM(Table3[[#This Row],[Unit_Price]]-Table3[[#This Row],[Unit_Cost]])</f>
        <v>267.32999999999993</v>
      </c>
      <c r="O61" s="7"/>
      <c r="P61" s="7"/>
      <c r="Q61" s="7"/>
      <c r="S61"/>
    </row>
    <row r="62" spans="1:19" x14ac:dyDescent="0.3">
      <c r="A62" s="1">
        <v>1092</v>
      </c>
      <c r="B62" s="2">
        <v>44946</v>
      </c>
      <c r="C62" s="1" t="s">
        <v>29</v>
      </c>
      <c r="D62" s="1" t="s">
        <v>48</v>
      </c>
      <c r="E62" s="1">
        <v>2729.27</v>
      </c>
      <c r="F62" s="1">
        <v>40</v>
      </c>
      <c r="G62" s="1" t="s">
        <v>31</v>
      </c>
      <c r="H62" s="1">
        <v>4624.16</v>
      </c>
      <c r="I62" s="1">
        <v>4731.9799999999996</v>
      </c>
      <c r="J62" s="1" t="s">
        <v>27</v>
      </c>
      <c r="K62" s="1">
        <v>0.2</v>
      </c>
      <c r="L62" s="1" t="s">
        <v>25</v>
      </c>
      <c r="M62" s="1" t="s">
        <v>21</v>
      </c>
      <c r="N62" s="1">
        <f>SUM(Table3[[#This Row],[Unit_Price]]-Table3[[#This Row],[Unit_Cost]])</f>
        <v>107.81999999999971</v>
      </c>
      <c r="O62" s="7"/>
      <c r="P62" s="7"/>
      <c r="Q62" s="7"/>
      <c r="S62"/>
    </row>
    <row r="63" spans="1:19" x14ac:dyDescent="0.3">
      <c r="A63" s="1">
        <v>1060</v>
      </c>
      <c r="B63" s="2">
        <v>45039</v>
      </c>
      <c r="C63" s="1" t="s">
        <v>32</v>
      </c>
      <c r="D63" s="1" t="s">
        <v>49</v>
      </c>
      <c r="E63" s="1">
        <v>273.77</v>
      </c>
      <c r="F63" s="1">
        <v>23</v>
      </c>
      <c r="G63" s="1" t="s">
        <v>26</v>
      </c>
      <c r="H63" s="1">
        <v>4110.6000000000004</v>
      </c>
      <c r="I63" s="1">
        <v>4488.37</v>
      </c>
      <c r="J63" s="1" t="s">
        <v>27</v>
      </c>
      <c r="K63" s="1">
        <v>0.12</v>
      </c>
      <c r="L63" s="1" t="s">
        <v>28</v>
      </c>
      <c r="M63" s="1" t="s">
        <v>19</v>
      </c>
      <c r="N63" s="1">
        <f>SUM(Table3[[#This Row],[Unit_Price]]-Table3[[#This Row],[Unit_Cost]])</f>
        <v>377.76999999999953</v>
      </c>
      <c r="O63" s="7"/>
      <c r="P63" s="7"/>
      <c r="Q63" s="7"/>
      <c r="S63"/>
    </row>
    <row r="64" spans="1:19" x14ac:dyDescent="0.3">
      <c r="A64" s="1">
        <v>1071</v>
      </c>
      <c r="B64" s="2">
        <v>45066</v>
      </c>
      <c r="C64" s="1" t="s">
        <v>32</v>
      </c>
      <c r="D64" s="1" t="s">
        <v>50</v>
      </c>
      <c r="E64" s="1">
        <v>3003.76</v>
      </c>
      <c r="F64" s="1">
        <v>6</v>
      </c>
      <c r="G64" s="1" t="s">
        <v>16</v>
      </c>
      <c r="H64" s="1">
        <v>2831.23</v>
      </c>
      <c r="I64" s="1">
        <v>3206.98</v>
      </c>
      <c r="J64" s="1" t="s">
        <v>17</v>
      </c>
      <c r="K64" s="1">
        <v>0.06</v>
      </c>
      <c r="L64" s="1" t="s">
        <v>25</v>
      </c>
      <c r="M64" s="1" t="s">
        <v>21</v>
      </c>
      <c r="N64" s="1">
        <f>SUM(Table3[[#This Row],[Unit_Price]]-Table3[[#This Row],[Unit_Cost]])</f>
        <v>375.75</v>
      </c>
      <c r="O64" s="7"/>
      <c r="P64" s="7"/>
      <c r="Q64" s="7"/>
      <c r="S64"/>
    </row>
    <row r="65" spans="1:19" x14ac:dyDescent="0.3">
      <c r="A65" s="1">
        <v>1044</v>
      </c>
      <c r="B65" s="2">
        <v>44973</v>
      </c>
      <c r="C65" s="1" t="s">
        <v>22</v>
      </c>
      <c r="D65" s="1" t="s">
        <v>44</v>
      </c>
      <c r="E65" s="1">
        <v>7754.1</v>
      </c>
      <c r="F65" s="1">
        <v>22</v>
      </c>
      <c r="G65" s="1" t="s">
        <v>24</v>
      </c>
      <c r="H65" s="1">
        <v>3373.46</v>
      </c>
      <c r="I65" s="1">
        <v>3454.76</v>
      </c>
      <c r="J65" s="1" t="s">
        <v>17</v>
      </c>
      <c r="K65" s="1">
        <v>0.22</v>
      </c>
      <c r="L65" s="1" t="s">
        <v>25</v>
      </c>
      <c r="M65" s="1" t="s">
        <v>21</v>
      </c>
      <c r="N65" s="1">
        <f>SUM(Table3[[#This Row],[Unit_Price]]-Table3[[#This Row],[Unit_Cost]])</f>
        <v>81.300000000000182</v>
      </c>
      <c r="O65" s="7"/>
      <c r="P65" s="7"/>
      <c r="Q65" s="7"/>
      <c r="S65"/>
    </row>
    <row r="66" spans="1:19" x14ac:dyDescent="0.3">
      <c r="A66" s="1">
        <v>1008</v>
      </c>
      <c r="B66" s="2">
        <v>44927</v>
      </c>
      <c r="C66" s="1" t="s">
        <v>32</v>
      </c>
      <c r="D66" s="1" t="s">
        <v>45</v>
      </c>
      <c r="E66" s="1">
        <v>5227.8100000000004</v>
      </c>
      <c r="F66" s="1">
        <v>38</v>
      </c>
      <c r="G66" s="1" t="s">
        <v>26</v>
      </c>
      <c r="H66" s="1">
        <v>4635.2299999999996</v>
      </c>
      <c r="I66" s="1">
        <v>5075.4399999999996</v>
      </c>
      <c r="J66" s="1" t="s">
        <v>17</v>
      </c>
      <c r="K66" s="1">
        <v>0.05</v>
      </c>
      <c r="L66" s="1" t="s">
        <v>18</v>
      </c>
      <c r="M66" s="1" t="s">
        <v>19</v>
      </c>
      <c r="N66" s="1">
        <f>SUM(Table3[[#This Row],[Unit_Price]]-Table3[[#This Row],[Unit_Cost]])</f>
        <v>440.21000000000004</v>
      </c>
      <c r="O66" s="7"/>
      <c r="P66" s="7"/>
      <c r="Q66" s="7"/>
      <c r="S66"/>
    </row>
    <row r="67" spans="1:19" x14ac:dyDescent="0.3">
      <c r="A67" s="1">
        <v>1047</v>
      </c>
      <c r="B67" s="2">
        <v>45016</v>
      </c>
      <c r="C67" s="1" t="s">
        <v>33</v>
      </c>
      <c r="D67" s="1" t="s">
        <v>46</v>
      </c>
      <c r="E67" s="1">
        <v>3546.15</v>
      </c>
      <c r="F67" s="1">
        <v>37</v>
      </c>
      <c r="G67" s="1" t="s">
        <v>31</v>
      </c>
      <c r="H67" s="1">
        <v>3114.88</v>
      </c>
      <c r="I67" s="1">
        <v>3256.78</v>
      </c>
      <c r="J67" s="1" t="s">
        <v>17</v>
      </c>
      <c r="K67" s="1">
        <v>0.26</v>
      </c>
      <c r="L67" s="1" t="s">
        <v>28</v>
      </c>
      <c r="M67" s="1" t="s">
        <v>19</v>
      </c>
      <c r="N67" s="1">
        <f>SUM(Table3[[#This Row],[Unit_Price]]-Table3[[#This Row],[Unit_Cost]])</f>
        <v>141.90000000000009</v>
      </c>
      <c r="O67" s="7"/>
      <c r="P67" s="7"/>
      <c r="Q67" s="7"/>
      <c r="S67"/>
    </row>
    <row r="68" spans="1:19" x14ac:dyDescent="0.3">
      <c r="A68" s="1">
        <v>1035</v>
      </c>
      <c r="B68" s="2">
        <v>45068</v>
      </c>
      <c r="C68" s="1" t="s">
        <v>33</v>
      </c>
      <c r="D68" s="1" t="s">
        <v>47</v>
      </c>
      <c r="E68" s="1">
        <v>3780.22</v>
      </c>
      <c r="F68" s="1">
        <v>45</v>
      </c>
      <c r="G68" s="1" t="s">
        <v>24</v>
      </c>
      <c r="H68" s="1">
        <v>4132.79</v>
      </c>
      <c r="I68" s="1">
        <v>4624.1000000000004</v>
      </c>
      <c r="J68" s="1" t="s">
        <v>27</v>
      </c>
      <c r="K68" s="1">
        <v>0.15</v>
      </c>
      <c r="L68" s="1" t="s">
        <v>28</v>
      </c>
      <c r="M68" s="1" t="s">
        <v>21</v>
      </c>
      <c r="N68" s="1">
        <f>SUM(Table3[[#This Row],[Unit_Price]]-Table3[[#This Row],[Unit_Cost]])</f>
        <v>491.3100000000004</v>
      </c>
      <c r="O68" s="7"/>
      <c r="P68" s="7"/>
      <c r="Q68" s="7"/>
      <c r="S68"/>
    </row>
    <row r="69" spans="1:19" x14ac:dyDescent="0.3">
      <c r="A69" s="1">
        <v>1078</v>
      </c>
      <c r="B69" s="2">
        <v>45246</v>
      </c>
      <c r="C69" s="1" t="s">
        <v>22</v>
      </c>
      <c r="D69" s="1" t="s">
        <v>48</v>
      </c>
      <c r="E69" s="1">
        <v>113.4</v>
      </c>
      <c r="F69" s="1">
        <v>8</v>
      </c>
      <c r="G69" s="1" t="s">
        <v>16</v>
      </c>
      <c r="H69" s="1">
        <v>3459.61</v>
      </c>
      <c r="I69" s="1">
        <v>3657.23</v>
      </c>
      <c r="J69" s="1" t="s">
        <v>17</v>
      </c>
      <c r="K69" s="1">
        <v>0.03</v>
      </c>
      <c r="L69" s="1" t="s">
        <v>25</v>
      </c>
      <c r="M69" s="1" t="s">
        <v>19</v>
      </c>
      <c r="N69" s="1">
        <f>SUM(Table3[[#This Row],[Unit_Price]]-Table3[[#This Row],[Unit_Cost]])</f>
        <v>197.61999999999989</v>
      </c>
      <c r="O69" s="7"/>
      <c r="P69" s="7"/>
      <c r="Q69" s="7"/>
      <c r="S69"/>
    </row>
    <row r="70" spans="1:19" x14ac:dyDescent="0.3">
      <c r="A70" s="1">
        <v>1081</v>
      </c>
      <c r="B70" s="2">
        <v>44964</v>
      </c>
      <c r="C70" s="1" t="s">
        <v>22</v>
      </c>
      <c r="D70" s="1" t="s">
        <v>49</v>
      </c>
      <c r="E70" s="1">
        <v>3068.03</v>
      </c>
      <c r="F70" s="1">
        <v>41</v>
      </c>
      <c r="G70" s="1" t="s">
        <v>16</v>
      </c>
      <c r="H70" s="1">
        <v>2782.08</v>
      </c>
      <c r="I70" s="1">
        <v>2879.24</v>
      </c>
      <c r="J70" s="1" t="s">
        <v>27</v>
      </c>
      <c r="K70" s="1">
        <v>0.21</v>
      </c>
      <c r="L70" s="1" t="s">
        <v>25</v>
      </c>
      <c r="M70" s="1" t="s">
        <v>19</v>
      </c>
      <c r="N70" s="1">
        <f>SUM(Table3[[#This Row],[Unit_Price]]-Table3[[#This Row],[Unit_Cost]])</f>
        <v>97.159999999999854</v>
      </c>
      <c r="O70" s="7"/>
      <c r="P70" s="7"/>
      <c r="Q70" s="7"/>
      <c r="S70"/>
    </row>
    <row r="71" spans="1:19" x14ac:dyDescent="0.3">
      <c r="A71" s="1">
        <v>1036</v>
      </c>
      <c r="B71" s="2">
        <v>45219</v>
      </c>
      <c r="C71" s="1" t="s">
        <v>22</v>
      </c>
      <c r="D71" s="1" t="s">
        <v>50</v>
      </c>
      <c r="E71" s="1">
        <v>6499.94</v>
      </c>
      <c r="F71" s="1">
        <v>49</v>
      </c>
      <c r="G71" s="1" t="s">
        <v>26</v>
      </c>
      <c r="H71" s="1">
        <v>1247.0999999999999</v>
      </c>
      <c r="I71" s="1">
        <v>1429.4399999999901</v>
      </c>
      <c r="J71" s="1" t="s">
        <v>27</v>
      </c>
      <c r="K71" s="1">
        <v>0.16</v>
      </c>
      <c r="L71" s="1" t="s">
        <v>18</v>
      </c>
      <c r="M71" s="1" t="s">
        <v>19</v>
      </c>
      <c r="N71" s="1">
        <f>SUM(Table3[[#This Row],[Unit_Price]]-Table3[[#This Row],[Unit_Cost]])</f>
        <v>182.33999999999014</v>
      </c>
      <c r="O71" s="7"/>
      <c r="P71" s="7"/>
      <c r="Q71" s="7"/>
      <c r="S71"/>
    </row>
    <row r="72" spans="1:19" x14ac:dyDescent="0.3">
      <c r="A72" s="1">
        <v>1050</v>
      </c>
      <c r="B72" s="2">
        <v>45065</v>
      </c>
      <c r="C72" s="1" t="s">
        <v>29</v>
      </c>
      <c r="D72" s="1" t="s">
        <v>44</v>
      </c>
      <c r="E72" s="1">
        <v>9744.52</v>
      </c>
      <c r="F72" s="1">
        <v>35</v>
      </c>
      <c r="G72" s="1" t="s">
        <v>26</v>
      </c>
      <c r="H72" s="1">
        <v>2158.69</v>
      </c>
      <c r="I72" s="1">
        <v>2384.38</v>
      </c>
      <c r="J72" s="1" t="s">
        <v>17</v>
      </c>
      <c r="K72" s="1">
        <v>0.09</v>
      </c>
      <c r="L72" s="1" t="s">
        <v>25</v>
      </c>
      <c r="M72" s="1" t="s">
        <v>21</v>
      </c>
      <c r="N72" s="1">
        <f>SUM(Table3[[#This Row],[Unit_Price]]-Table3[[#This Row],[Unit_Cost]])</f>
        <v>225.69000000000005</v>
      </c>
      <c r="O72" s="7"/>
      <c r="P72" s="7"/>
      <c r="Q72" s="7"/>
      <c r="S72"/>
    </row>
    <row r="73" spans="1:19" x14ac:dyDescent="0.3">
      <c r="A73" s="1">
        <v>1004</v>
      </c>
      <c r="B73" s="2">
        <v>45282</v>
      </c>
      <c r="C73" s="1" t="s">
        <v>32</v>
      </c>
      <c r="D73" s="1" t="s">
        <v>45</v>
      </c>
      <c r="E73" s="1">
        <v>8485.9</v>
      </c>
      <c r="F73" s="1">
        <v>11</v>
      </c>
      <c r="G73" s="1" t="s">
        <v>26</v>
      </c>
      <c r="H73" s="1">
        <v>4840.33</v>
      </c>
      <c r="I73" s="1">
        <v>4884.29</v>
      </c>
      <c r="J73" s="1" t="s">
        <v>27</v>
      </c>
      <c r="K73" s="1">
        <v>0.13</v>
      </c>
      <c r="L73" s="1" t="s">
        <v>18</v>
      </c>
      <c r="M73" s="1" t="s">
        <v>19</v>
      </c>
      <c r="N73" s="1">
        <f>SUM(Table3[[#This Row],[Unit_Price]]-Table3[[#This Row],[Unit_Cost]])</f>
        <v>43.960000000000036</v>
      </c>
      <c r="O73" s="7"/>
      <c r="P73" s="7"/>
      <c r="Q73" s="7"/>
      <c r="S73"/>
    </row>
    <row r="74" spans="1:19" x14ac:dyDescent="0.3">
      <c r="A74" s="1">
        <v>1002</v>
      </c>
      <c r="B74" s="2">
        <v>45259</v>
      </c>
      <c r="C74" s="1" t="s">
        <v>22</v>
      </c>
      <c r="D74" s="1" t="s">
        <v>46</v>
      </c>
      <c r="E74" s="1">
        <v>333.59</v>
      </c>
      <c r="F74" s="1">
        <v>24</v>
      </c>
      <c r="G74" s="1" t="s">
        <v>16</v>
      </c>
      <c r="H74" s="1">
        <v>3305.94</v>
      </c>
      <c r="I74" s="1">
        <v>3599.27</v>
      </c>
      <c r="J74" s="1" t="s">
        <v>27</v>
      </c>
      <c r="K74" s="1">
        <v>0.09</v>
      </c>
      <c r="L74" s="1" t="s">
        <v>28</v>
      </c>
      <c r="M74" s="1" t="s">
        <v>21</v>
      </c>
      <c r="N74" s="1">
        <f>SUM(Table3[[#This Row],[Unit_Price]]-Table3[[#This Row],[Unit_Cost]])</f>
        <v>293.32999999999993</v>
      </c>
      <c r="O74" s="7"/>
      <c r="P74" s="7"/>
      <c r="Q74" s="7"/>
      <c r="S74"/>
    </row>
    <row r="75" spans="1:19" x14ac:dyDescent="0.3">
      <c r="A75" s="1">
        <v>1006</v>
      </c>
      <c r="B75" s="2">
        <v>45185</v>
      </c>
      <c r="C75" s="1" t="s">
        <v>14</v>
      </c>
      <c r="D75" s="1" t="s">
        <v>47</v>
      </c>
      <c r="E75" s="1">
        <v>8995.75</v>
      </c>
      <c r="F75" s="1">
        <v>49</v>
      </c>
      <c r="G75" s="1" t="s">
        <v>24</v>
      </c>
      <c r="H75" s="1">
        <v>2843.76</v>
      </c>
      <c r="I75" s="1">
        <v>3146.6</v>
      </c>
      <c r="J75" s="1" t="s">
        <v>27</v>
      </c>
      <c r="K75" s="1">
        <v>0.08</v>
      </c>
      <c r="L75" s="1" t="s">
        <v>18</v>
      </c>
      <c r="M75" s="1" t="s">
        <v>21</v>
      </c>
      <c r="N75" s="1">
        <f>SUM(Table3[[#This Row],[Unit_Price]]-Table3[[#This Row],[Unit_Cost]])</f>
        <v>302.83999999999969</v>
      </c>
      <c r="O75" s="7"/>
      <c r="P75" s="7"/>
      <c r="Q75" s="7"/>
      <c r="S75"/>
    </row>
    <row r="76" spans="1:19" x14ac:dyDescent="0.3">
      <c r="A76" s="1">
        <v>1054</v>
      </c>
      <c r="B76" s="2">
        <v>45087</v>
      </c>
      <c r="C76" s="1" t="s">
        <v>14</v>
      </c>
      <c r="D76" s="1" t="s">
        <v>48</v>
      </c>
      <c r="E76" s="1">
        <v>7853.66</v>
      </c>
      <c r="F76" s="1">
        <v>21</v>
      </c>
      <c r="G76" s="1" t="s">
        <v>16</v>
      </c>
      <c r="H76" s="1">
        <v>4668.1400000000003</v>
      </c>
      <c r="I76" s="1">
        <v>5040.22</v>
      </c>
      <c r="J76" s="1" t="s">
        <v>27</v>
      </c>
      <c r="K76" s="1">
        <v>0.05</v>
      </c>
      <c r="L76" s="1" t="s">
        <v>25</v>
      </c>
      <c r="M76" s="1" t="s">
        <v>19</v>
      </c>
      <c r="N76" s="1">
        <f>SUM(Table3[[#This Row],[Unit_Price]]-Table3[[#This Row],[Unit_Cost]])</f>
        <v>372.07999999999993</v>
      </c>
      <c r="O76" s="7"/>
      <c r="P76" s="7"/>
      <c r="Q76" s="7"/>
      <c r="S76"/>
    </row>
    <row r="77" spans="1:19" x14ac:dyDescent="0.3">
      <c r="A77" s="1">
        <v>1004</v>
      </c>
      <c r="B77" s="2">
        <v>45104</v>
      </c>
      <c r="C77" s="1" t="s">
        <v>33</v>
      </c>
      <c r="D77" s="1" t="s">
        <v>49</v>
      </c>
      <c r="E77" s="1">
        <v>7825.72</v>
      </c>
      <c r="F77" s="1">
        <v>2</v>
      </c>
      <c r="G77" s="1" t="s">
        <v>31</v>
      </c>
      <c r="H77" s="1">
        <v>2953.23</v>
      </c>
      <c r="I77" s="1">
        <v>2977.52</v>
      </c>
      <c r="J77" s="1" t="s">
        <v>17</v>
      </c>
      <c r="K77" s="1">
        <v>0.11</v>
      </c>
      <c r="L77" s="1" t="s">
        <v>28</v>
      </c>
      <c r="M77" s="1" t="s">
        <v>21</v>
      </c>
      <c r="N77" s="1">
        <f>SUM(Table3[[#This Row],[Unit_Price]]-Table3[[#This Row],[Unit_Cost]])</f>
        <v>24.289999999999964</v>
      </c>
      <c r="O77" s="7"/>
      <c r="P77" s="7"/>
      <c r="Q77" s="7"/>
      <c r="S77"/>
    </row>
    <row r="78" spans="1:19" x14ac:dyDescent="0.3">
      <c r="A78" s="1">
        <v>1054</v>
      </c>
      <c r="B78" s="2">
        <v>44936</v>
      </c>
      <c r="C78" s="1" t="s">
        <v>32</v>
      </c>
      <c r="D78" s="1" t="s">
        <v>50</v>
      </c>
      <c r="E78" s="1">
        <v>4634.16</v>
      </c>
      <c r="F78" s="1">
        <v>40</v>
      </c>
      <c r="G78" s="1" t="s">
        <v>16</v>
      </c>
      <c r="H78" s="1">
        <v>2654.11</v>
      </c>
      <c r="I78" s="1">
        <v>2929.32</v>
      </c>
      <c r="J78" s="1" t="s">
        <v>17</v>
      </c>
      <c r="K78" s="1">
        <v>0.08</v>
      </c>
      <c r="L78" s="1" t="s">
        <v>18</v>
      </c>
      <c r="M78" s="1" t="s">
        <v>19</v>
      </c>
      <c r="N78" s="1">
        <f>SUM(Table3[[#This Row],[Unit_Price]]-Table3[[#This Row],[Unit_Cost]])</f>
        <v>275.21000000000004</v>
      </c>
      <c r="O78" s="7"/>
      <c r="P78" s="7"/>
      <c r="Q78" s="7"/>
      <c r="S78"/>
    </row>
    <row r="79" spans="1:19" x14ac:dyDescent="0.3">
      <c r="A79" s="1">
        <v>1093</v>
      </c>
      <c r="B79" s="2">
        <v>45187</v>
      </c>
      <c r="C79" s="1" t="s">
        <v>22</v>
      </c>
      <c r="D79" s="1" t="s">
        <v>44</v>
      </c>
      <c r="E79" s="1">
        <v>4040.25</v>
      </c>
      <c r="F79" s="1">
        <v>19</v>
      </c>
      <c r="G79" s="1" t="s">
        <v>31</v>
      </c>
      <c r="H79" s="1">
        <v>3808.59</v>
      </c>
      <c r="I79" s="1">
        <v>3844.51</v>
      </c>
      <c r="J79" s="1" t="s">
        <v>27</v>
      </c>
      <c r="K79" s="1">
        <v>0.21</v>
      </c>
      <c r="L79" s="1" t="s">
        <v>28</v>
      </c>
      <c r="M79" s="1" t="s">
        <v>19</v>
      </c>
      <c r="N79" s="1">
        <f>SUM(Table3[[#This Row],[Unit_Price]]-Table3[[#This Row],[Unit_Cost]])</f>
        <v>35.920000000000073</v>
      </c>
      <c r="O79" s="7"/>
      <c r="P79" s="7"/>
      <c r="Q79" s="7"/>
      <c r="S79"/>
    </row>
    <row r="80" spans="1:19" x14ac:dyDescent="0.3">
      <c r="A80" s="1">
        <v>1063</v>
      </c>
      <c r="B80" s="2">
        <v>45064</v>
      </c>
      <c r="C80" s="1" t="s">
        <v>14</v>
      </c>
      <c r="D80" s="1" t="s">
        <v>45</v>
      </c>
      <c r="E80" s="1">
        <v>3098.87</v>
      </c>
      <c r="F80" s="1">
        <v>39</v>
      </c>
      <c r="G80" s="1" t="s">
        <v>24</v>
      </c>
      <c r="H80" s="1">
        <v>3577.69</v>
      </c>
      <c r="I80" s="1">
        <v>3931.25</v>
      </c>
      <c r="J80" s="1" t="s">
        <v>17</v>
      </c>
      <c r="K80" s="1">
        <v>0.21</v>
      </c>
      <c r="L80" s="1" t="s">
        <v>18</v>
      </c>
      <c r="M80" s="1" t="s">
        <v>21</v>
      </c>
      <c r="N80" s="1">
        <f>SUM(Table3[[#This Row],[Unit_Price]]-Table3[[#This Row],[Unit_Cost]])</f>
        <v>353.55999999999995</v>
      </c>
      <c r="O80" s="7"/>
      <c r="P80" s="7"/>
      <c r="Q80" s="7"/>
      <c r="S80"/>
    </row>
    <row r="81" spans="1:19" x14ac:dyDescent="0.3">
      <c r="A81" s="1">
        <v>1018</v>
      </c>
      <c r="B81" s="2">
        <v>45098</v>
      </c>
      <c r="C81" s="1" t="s">
        <v>32</v>
      </c>
      <c r="D81" s="1" t="s">
        <v>46</v>
      </c>
      <c r="E81" s="1">
        <v>750.38</v>
      </c>
      <c r="F81" s="1">
        <v>28</v>
      </c>
      <c r="G81" s="1" t="s">
        <v>26</v>
      </c>
      <c r="H81" s="1">
        <v>1006.14</v>
      </c>
      <c r="I81" s="1">
        <v>1043.45</v>
      </c>
      <c r="J81" s="1" t="s">
        <v>27</v>
      </c>
      <c r="K81" s="1">
        <v>0.15</v>
      </c>
      <c r="L81" s="1" t="s">
        <v>25</v>
      </c>
      <c r="M81" s="1" t="s">
        <v>21</v>
      </c>
      <c r="N81" s="1">
        <f>SUM(Table3[[#This Row],[Unit_Price]]-Table3[[#This Row],[Unit_Cost]])</f>
        <v>37.310000000000059</v>
      </c>
      <c r="O81" s="7"/>
      <c r="P81" s="7"/>
      <c r="Q81" s="7"/>
      <c r="S81"/>
    </row>
    <row r="82" spans="1:19" x14ac:dyDescent="0.3">
      <c r="A82" s="1">
        <v>1090</v>
      </c>
      <c r="B82" s="2">
        <v>44939</v>
      </c>
      <c r="C82" s="1" t="s">
        <v>33</v>
      </c>
      <c r="D82" s="1" t="s">
        <v>47</v>
      </c>
      <c r="E82" s="1">
        <v>2359.5300000000002</v>
      </c>
      <c r="F82" s="1">
        <v>17</v>
      </c>
      <c r="G82" s="1" t="s">
        <v>26</v>
      </c>
      <c r="H82" s="1">
        <v>2382.98</v>
      </c>
      <c r="I82" s="1">
        <v>2839.73</v>
      </c>
      <c r="J82" s="1" t="s">
        <v>17</v>
      </c>
      <c r="K82" s="1">
        <v>0.23</v>
      </c>
      <c r="L82" s="1" t="s">
        <v>25</v>
      </c>
      <c r="M82" s="1" t="s">
        <v>21</v>
      </c>
      <c r="N82" s="1">
        <f>SUM(Table3[[#This Row],[Unit_Price]]-Table3[[#This Row],[Unit_Cost]])</f>
        <v>456.75</v>
      </c>
      <c r="O82" s="7"/>
      <c r="P82" s="7"/>
      <c r="Q82" s="7"/>
      <c r="S82"/>
    </row>
    <row r="83" spans="1:19" x14ac:dyDescent="0.3">
      <c r="A83" s="1">
        <v>1044</v>
      </c>
      <c r="B83" s="2">
        <v>45094</v>
      </c>
      <c r="C83" s="1" t="s">
        <v>29</v>
      </c>
      <c r="D83" s="1" t="s">
        <v>48</v>
      </c>
      <c r="E83" s="1">
        <v>2541.38</v>
      </c>
      <c r="F83" s="1">
        <v>6</v>
      </c>
      <c r="G83" s="1" t="s">
        <v>16</v>
      </c>
      <c r="H83" s="1">
        <v>2388.9499999999998</v>
      </c>
      <c r="I83" s="1">
        <v>2742.97</v>
      </c>
      <c r="J83" s="1" t="s">
        <v>17</v>
      </c>
      <c r="K83" s="1">
        <v>0.25</v>
      </c>
      <c r="L83" s="1" t="s">
        <v>28</v>
      </c>
      <c r="M83" s="1" t="s">
        <v>21</v>
      </c>
      <c r="N83" s="1">
        <f>SUM(Table3[[#This Row],[Unit_Price]]-Table3[[#This Row],[Unit_Cost]])</f>
        <v>354.02</v>
      </c>
      <c r="O83" s="7"/>
      <c r="P83" s="7"/>
      <c r="Q83" s="7"/>
      <c r="S83"/>
    </row>
    <row r="84" spans="1:19" x14ac:dyDescent="0.3">
      <c r="A84" s="1">
        <v>1034</v>
      </c>
      <c r="B84" s="2">
        <v>45056</v>
      </c>
      <c r="C84" s="1" t="s">
        <v>32</v>
      </c>
      <c r="D84" s="1" t="s">
        <v>49</v>
      </c>
      <c r="E84" s="1">
        <v>4892.3599999999997</v>
      </c>
      <c r="F84" s="1">
        <v>19</v>
      </c>
      <c r="G84" s="1" t="s">
        <v>26</v>
      </c>
      <c r="H84" s="1">
        <v>1922.21</v>
      </c>
      <c r="I84" s="1">
        <v>2180.83</v>
      </c>
      <c r="J84" s="1" t="s">
        <v>17</v>
      </c>
      <c r="K84" s="1">
        <v>0.17</v>
      </c>
      <c r="L84" s="1" t="s">
        <v>28</v>
      </c>
      <c r="M84" s="1" t="s">
        <v>21</v>
      </c>
      <c r="N84" s="1">
        <f>SUM(Table3[[#This Row],[Unit_Price]]-Table3[[#This Row],[Unit_Cost]])</f>
        <v>258.61999999999989</v>
      </c>
      <c r="O84" s="7"/>
      <c r="P84" s="7"/>
      <c r="Q84" s="7"/>
      <c r="S84"/>
    </row>
    <row r="85" spans="1:19" x14ac:dyDescent="0.3">
      <c r="A85" s="1">
        <v>1074</v>
      </c>
      <c r="B85" s="2">
        <v>45010</v>
      </c>
      <c r="C85" s="1" t="s">
        <v>32</v>
      </c>
      <c r="D85" s="1" t="s">
        <v>50</v>
      </c>
      <c r="E85" s="1">
        <v>7499.7</v>
      </c>
      <c r="F85" s="1">
        <v>38</v>
      </c>
      <c r="G85" s="1" t="s">
        <v>24</v>
      </c>
      <c r="H85" s="1">
        <v>2610.6</v>
      </c>
      <c r="I85" s="1">
        <v>2836.94</v>
      </c>
      <c r="J85" s="1" t="s">
        <v>17</v>
      </c>
      <c r="K85" s="1">
        <v>0.19</v>
      </c>
      <c r="L85" s="1" t="s">
        <v>28</v>
      </c>
      <c r="M85" s="1" t="s">
        <v>19</v>
      </c>
      <c r="N85" s="1">
        <f>SUM(Table3[[#This Row],[Unit_Price]]-Table3[[#This Row],[Unit_Cost]])</f>
        <v>226.34000000000015</v>
      </c>
      <c r="O85" s="7"/>
      <c r="P85" s="7"/>
      <c r="Q85" s="7"/>
      <c r="S85"/>
    </row>
    <row r="86" spans="1:19" x14ac:dyDescent="0.3">
      <c r="A86" s="1">
        <v>1062</v>
      </c>
      <c r="B86" s="2">
        <v>45247</v>
      </c>
      <c r="C86" s="1" t="s">
        <v>29</v>
      </c>
      <c r="D86" s="1" t="s">
        <v>44</v>
      </c>
      <c r="E86" s="1">
        <v>4790.72</v>
      </c>
      <c r="F86" s="1">
        <v>28</v>
      </c>
      <c r="G86" s="1" t="s">
        <v>26</v>
      </c>
      <c r="H86" s="1">
        <v>2094.88</v>
      </c>
      <c r="I86" s="1">
        <v>2168.91</v>
      </c>
      <c r="J86" s="1" t="s">
        <v>17</v>
      </c>
      <c r="K86" s="1">
        <v>0.08</v>
      </c>
      <c r="L86" s="1" t="s">
        <v>18</v>
      </c>
      <c r="M86" s="1" t="s">
        <v>21</v>
      </c>
      <c r="N86" s="1">
        <f>SUM(Table3[[#This Row],[Unit_Price]]-Table3[[#This Row],[Unit_Cost]])</f>
        <v>74.029999999999745</v>
      </c>
      <c r="O86" s="7"/>
      <c r="P86" s="7"/>
      <c r="Q86" s="7"/>
      <c r="S86"/>
    </row>
    <row r="87" spans="1:19" x14ac:dyDescent="0.3">
      <c r="A87" s="1">
        <v>1100</v>
      </c>
      <c r="B87" s="2">
        <v>45245</v>
      </c>
      <c r="C87" s="1" t="s">
        <v>32</v>
      </c>
      <c r="D87" s="1" t="s">
        <v>45</v>
      </c>
      <c r="E87" s="1">
        <v>672.66</v>
      </c>
      <c r="F87" s="1">
        <v>2</v>
      </c>
      <c r="G87" s="1" t="s">
        <v>16</v>
      </c>
      <c r="H87" s="1">
        <v>1036.76</v>
      </c>
      <c r="I87" s="1">
        <v>1189.3499999999999</v>
      </c>
      <c r="J87" s="1" t="s">
        <v>27</v>
      </c>
      <c r="K87" s="1">
        <v>0.27</v>
      </c>
      <c r="L87" s="1" t="s">
        <v>25</v>
      </c>
      <c r="M87" s="1" t="s">
        <v>19</v>
      </c>
      <c r="N87" s="1">
        <f>SUM(Table3[[#This Row],[Unit_Price]]-Table3[[#This Row],[Unit_Cost]])</f>
        <v>152.58999999999992</v>
      </c>
      <c r="O87" s="7"/>
      <c r="P87" s="7"/>
      <c r="Q87" s="7"/>
      <c r="S87"/>
    </row>
    <row r="88" spans="1:19" x14ac:dyDescent="0.3">
      <c r="A88" s="1">
        <v>1014</v>
      </c>
      <c r="B88" s="2">
        <v>45027</v>
      </c>
      <c r="C88" s="1" t="s">
        <v>33</v>
      </c>
      <c r="D88" s="1" t="s">
        <v>46</v>
      </c>
      <c r="E88" s="1">
        <v>9582.1200000000008</v>
      </c>
      <c r="F88" s="1">
        <v>38</v>
      </c>
      <c r="G88" s="1" t="s">
        <v>24</v>
      </c>
      <c r="H88" s="1">
        <v>2091.21</v>
      </c>
      <c r="I88" s="1">
        <v>2527</v>
      </c>
      <c r="J88" s="1" t="s">
        <v>17</v>
      </c>
      <c r="K88" s="1">
        <v>0.01</v>
      </c>
      <c r="L88" s="1" t="s">
        <v>28</v>
      </c>
      <c r="M88" s="1" t="s">
        <v>19</v>
      </c>
      <c r="N88" s="1">
        <f>SUM(Table3[[#This Row],[Unit_Price]]-Table3[[#This Row],[Unit_Cost]])</f>
        <v>435.78999999999996</v>
      </c>
      <c r="O88" s="7"/>
      <c r="P88" s="7"/>
      <c r="Q88" s="7"/>
      <c r="S88"/>
    </row>
    <row r="89" spans="1:19" x14ac:dyDescent="0.3">
      <c r="A89" s="1">
        <v>1095</v>
      </c>
      <c r="B89" s="2">
        <v>45255</v>
      </c>
      <c r="C89" s="1" t="s">
        <v>33</v>
      </c>
      <c r="D89" s="1" t="s">
        <v>47</v>
      </c>
      <c r="E89" s="1">
        <v>9432.9699999999993</v>
      </c>
      <c r="F89" s="1">
        <v>37</v>
      </c>
      <c r="G89" s="1" t="s">
        <v>31</v>
      </c>
      <c r="H89" s="1">
        <v>407.77</v>
      </c>
      <c r="I89" s="1">
        <v>860.95</v>
      </c>
      <c r="J89" s="1" t="s">
        <v>27</v>
      </c>
      <c r="K89" s="1">
        <v>0.1</v>
      </c>
      <c r="L89" s="1" t="s">
        <v>28</v>
      </c>
      <c r="M89" s="1" t="s">
        <v>21</v>
      </c>
      <c r="N89" s="1">
        <f>SUM(Table3[[#This Row],[Unit_Price]]-Table3[[#This Row],[Unit_Cost]])</f>
        <v>453.18000000000006</v>
      </c>
      <c r="O89" s="7"/>
      <c r="P89" s="7"/>
      <c r="Q89" s="7"/>
      <c r="S89"/>
    </row>
    <row r="90" spans="1:19" x14ac:dyDescent="0.3">
      <c r="A90" s="1">
        <v>1048</v>
      </c>
      <c r="B90" s="2">
        <v>45199</v>
      </c>
      <c r="C90" s="1" t="s">
        <v>29</v>
      </c>
      <c r="D90" s="1" t="s">
        <v>48</v>
      </c>
      <c r="E90" s="1">
        <v>7873.38</v>
      </c>
      <c r="F90" s="1">
        <v>4</v>
      </c>
      <c r="G90" s="1" t="s">
        <v>16</v>
      </c>
      <c r="H90" s="1">
        <v>2900.14</v>
      </c>
      <c r="I90" s="1">
        <v>2910.5099999999902</v>
      </c>
      <c r="J90" s="1" t="s">
        <v>27</v>
      </c>
      <c r="K90" s="1">
        <v>0.22</v>
      </c>
      <c r="L90" s="1" t="s">
        <v>28</v>
      </c>
      <c r="M90" s="1" t="s">
        <v>21</v>
      </c>
      <c r="N90" s="1">
        <f>SUM(Table3[[#This Row],[Unit_Price]]-Table3[[#This Row],[Unit_Cost]])</f>
        <v>10.369999999990341</v>
      </c>
      <c r="O90" s="7"/>
      <c r="P90" s="7"/>
      <c r="Q90" s="7"/>
      <c r="S90"/>
    </row>
    <row r="91" spans="1:19" x14ac:dyDescent="0.3">
      <c r="A91" s="1">
        <v>1015</v>
      </c>
      <c r="B91" s="2">
        <v>45191</v>
      </c>
      <c r="C91" s="1" t="s">
        <v>22</v>
      </c>
      <c r="D91" s="1" t="s">
        <v>49</v>
      </c>
      <c r="E91" s="1">
        <v>9914.15</v>
      </c>
      <c r="F91" s="1">
        <v>22</v>
      </c>
      <c r="G91" s="1" t="s">
        <v>31</v>
      </c>
      <c r="H91" s="1">
        <v>4275.59</v>
      </c>
      <c r="I91" s="1">
        <v>4576.72</v>
      </c>
      <c r="J91" s="1" t="s">
        <v>17</v>
      </c>
      <c r="K91" s="1">
        <v>0.02</v>
      </c>
      <c r="L91" s="1" t="s">
        <v>18</v>
      </c>
      <c r="M91" s="1" t="s">
        <v>21</v>
      </c>
      <c r="N91" s="1">
        <f>SUM(Table3[[#This Row],[Unit_Price]]-Table3[[#This Row],[Unit_Cost]])</f>
        <v>301.13000000000011</v>
      </c>
      <c r="O91" s="7"/>
      <c r="P91" s="7"/>
      <c r="Q91" s="7"/>
      <c r="S91"/>
    </row>
    <row r="92" spans="1:19" x14ac:dyDescent="0.3">
      <c r="A92" s="1">
        <v>1072</v>
      </c>
      <c r="B92" s="2">
        <v>44964</v>
      </c>
      <c r="C92" s="1" t="s">
        <v>14</v>
      </c>
      <c r="D92" s="1" t="s">
        <v>50</v>
      </c>
      <c r="E92" s="1">
        <v>5490.38</v>
      </c>
      <c r="F92" s="1">
        <v>26</v>
      </c>
      <c r="G92" s="1" t="s">
        <v>24</v>
      </c>
      <c r="H92" s="1">
        <v>3640.17</v>
      </c>
      <c r="I92" s="1">
        <v>4002.63</v>
      </c>
      <c r="J92" s="1" t="s">
        <v>27</v>
      </c>
      <c r="K92" s="1">
        <v>0.05</v>
      </c>
      <c r="L92" s="1" t="s">
        <v>28</v>
      </c>
      <c r="M92" s="1" t="s">
        <v>21</v>
      </c>
      <c r="N92" s="1">
        <f>SUM(Table3[[#This Row],[Unit_Price]]-Table3[[#This Row],[Unit_Cost]])</f>
        <v>362.46000000000004</v>
      </c>
      <c r="O92" s="7"/>
      <c r="P92" s="7"/>
      <c r="Q92" s="7"/>
      <c r="S92"/>
    </row>
    <row r="93" spans="1:19" x14ac:dyDescent="0.3">
      <c r="A93" s="1">
        <v>1078</v>
      </c>
      <c r="B93" s="2">
        <v>45020</v>
      </c>
      <c r="C93" s="1" t="s">
        <v>22</v>
      </c>
      <c r="D93" s="1" t="s">
        <v>44</v>
      </c>
      <c r="E93" s="1">
        <v>9631.41</v>
      </c>
      <c r="F93" s="1">
        <v>49</v>
      </c>
      <c r="G93" s="1" t="s">
        <v>16</v>
      </c>
      <c r="H93" s="1">
        <v>1833.95</v>
      </c>
      <c r="I93" s="1">
        <v>2147.14</v>
      </c>
      <c r="J93" s="1" t="s">
        <v>17</v>
      </c>
      <c r="K93" s="1">
        <v>0.18</v>
      </c>
      <c r="L93" s="1" t="s">
        <v>28</v>
      </c>
      <c r="M93" s="1" t="s">
        <v>21</v>
      </c>
      <c r="N93" s="1">
        <f>SUM(Table3[[#This Row],[Unit_Price]]-Table3[[#This Row],[Unit_Cost]])</f>
        <v>313.18999999999983</v>
      </c>
      <c r="O93" s="7"/>
      <c r="P93" s="7"/>
      <c r="Q93" s="7"/>
      <c r="S93"/>
    </row>
    <row r="94" spans="1:19" x14ac:dyDescent="0.3">
      <c r="A94" s="1">
        <v>1087</v>
      </c>
      <c r="B94" s="2">
        <v>45021</v>
      </c>
      <c r="C94" s="1" t="s">
        <v>32</v>
      </c>
      <c r="D94" s="1" t="s">
        <v>45</v>
      </c>
      <c r="E94" s="1">
        <v>848.49</v>
      </c>
      <c r="F94" s="1">
        <v>43</v>
      </c>
      <c r="G94" s="1" t="s">
        <v>16</v>
      </c>
      <c r="H94" s="1">
        <v>481</v>
      </c>
      <c r="I94" s="1">
        <v>531.02</v>
      </c>
      <c r="J94" s="1" t="s">
        <v>27</v>
      </c>
      <c r="K94" s="1">
        <v>0.17</v>
      </c>
      <c r="L94" s="1" t="s">
        <v>18</v>
      </c>
      <c r="M94" s="1" t="s">
        <v>19</v>
      </c>
      <c r="N94" s="1">
        <f>SUM(Table3[[#This Row],[Unit_Price]]-Table3[[#This Row],[Unit_Cost]])</f>
        <v>50.019999999999982</v>
      </c>
      <c r="O94" s="7"/>
      <c r="P94" s="7"/>
      <c r="Q94" s="7"/>
      <c r="S94"/>
    </row>
    <row r="95" spans="1:19" x14ac:dyDescent="0.3">
      <c r="A95" s="1">
        <v>1062</v>
      </c>
      <c r="B95" s="2">
        <v>45231</v>
      </c>
      <c r="C95" s="1" t="s">
        <v>14</v>
      </c>
      <c r="D95" s="1" t="s">
        <v>46</v>
      </c>
      <c r="E95" s="1">
        <v>3720.24</v>
      </c>
      <c r="F95" s="1">
        <v>36</v>
      </c>
      <c r="G95" s="1" t="s">
        <v>24</v>
      </c>
      <c r="H95" s="1">
        <v>1050.6400000000001</v>
      </c>
      <c r="I95" s="1">
        <v>1167.33</v>
      </c>
      <c r="J95" s="1" t="s">
        <v>27</v>
      </c>
      <c r="K95" s="1">
        <v>0.22</v>
      </c>
      <c r="L95" s="1" t="s">
        <v>18</v>
      </c>
      <c r="M95" s="1" t="s">
        <v>19</v>
      </c>
      <c r="N95" s="1">
        <f>SUM(Table3[[#This Row],[Unit_Price]]-Table3[[#This Row],[Unit_Cost]])</f>
        <v>116.68999999999983</v>
      </c>
      <c r="O95" s="7"/>
      <c r="P95" s="7"/>
      <c r="Q95" s="7"/>
      <c r="S95"/>
    </row>
    <row r="96" spans="1:19" x14ac:dyDescent="0.3">
      <c r="A96" s="1">
        <v>1040</v>
      </c>
      <c r="B96" s="2">
        <v>44995</v>
      </c>
      <c r="C96" s="1" t="s">
        <v>29</v>
      </c>
      <c r="D96" s="1" t="s">
        <v>47</v>
      </c>
      <c r="E96" s="1">
        <v>2331.27</v>
      </c>
      <c r="F96" s="1">
        <v>13</v>
      </c>
      <c r="G96" s="1" t="s">
        <v>26</v>
      </c>
      <c r="H96" s="1">
        <v>2750.18</v>
      </c>
      <c r="I96" s="1">
        <v>2882.85</v>
      </c>
      <c r="J96" s="1" t="s">
        <v>17</v>
      </c>
      <c r="K96" s="1">
        <v>0.24</v>
      </c>
      <c r="L96" s="1" t="s">
        <v>28</v>
      </c>
      <c r="M96" s="1" t="s">
        <v>19</v>
      </c>
      <c r="N96" s="1">
        <f>SUM(Table3[[#This Row],[Unit_Price]]-Table3[[#This Row],[Unit_Cost]])</f>
        <v>132.67000000000007</v>
      </c>
      <c r="O96" s="7"/>
      <c r="P96" s="7"/>
      <c r="Q96" s="7"/>
      <c r="S96"/>
    </row>
    <row r="97" spans="1:19" x14ac:dyDescent="0.3">
      <c r="A97" s="1">
        <v>1085</v>
      </c>
      <c r="B97" s="2">
        <v>45244</v>
      </c>
      <c r="C97" s="1" t="s">
        <v>29</v>
      </c>
      <c r="D97" s="1" t="s">
        <v>48</v>
      </c>
      <c r="E97" s="1">
        <v>2038.75</v>
      </c>
      <c r="F97" s="1">
        <v>32</v>
      </c>
      <c r="G97" s="1" t="s">
        <v>16</v>
      </c>
      <c r="H97" s="1">
        <v>1074.93</v>
      </c>
      <c r="I97" s="1">
        <v>1492.48</v>
      </c>
      <c r="J97" s="1" t="s">
        <v>17</v>
      </c>
      <c r="K97" s="1">
        <v>0.04</v>
      </c>
      <c r="L97" s="1" t="s">
        <v>28</v>
      </c>
      <c r="M97" s="1" t="s">
        <v>21</v>
      </c>
      <c r="N97" s="1">
        <f>SUM(Table3[[#This Row],[Unit_Price]]-Table3[[#This Row],[Unit_Cost]])</f>
        <v>417.54999999999995</v>
      </c>
      <c r="O97" s="7"/>
      <c r="P97" s="7"/>
      <c r="Q97" s="7"/>
      <c r="S97"/>
    </row>
    <row r="98" spans="1:19" x14ac:dyDescent="0.3">
      <c r="A98" s="1">
        <v>1080</v>
      </c>
      <c r="B98" s="2">
        <v>45162</v>
      </c>
      <c r="C98" s="1" t="s">
        <v>14</v>
      </c>
      <c r="D98" s="1" t="s">
        <v>49</v>
      </c>
      <c r="E98" s="1">
        <v>1493.95</v>
      </c>
      <c r="F98" s="1">
        <v>17</v>
      </c>
      <c r="G98" s="1" t="s">
        <v>16</v>
      </c>
      <c r="H98" s="1">
        <v>2742.67</v>
      </c>
      <c r="I98" s="1">
        <v>2979.64</v>
      </c>
      <c r="J98" s="1" t="s">
        <v>17</v>
      </c>
      <c r="K98" s="1">
        <v>0.01</v>
      </c>
      <c r="L98" s="1" t="s">
        <v>18</v>
      </c>
      <c r="M98" s="1" t="s">
        <v>21</v>
      </c>
      <c r="N98" s="1">
        <f>SUM(Table3[[#This Row],[Unit_Price]]-Table3[[#This Row],[Unit_Cost]])</f>
        <v>236.9699999999998</v>
      </c>
      <c r="O98" s="7"/>
      <c r="P98" s="7"/>
      <c r="Q98" s="7"/>
      <c r="S98"/>
    </row>
    <row r="99" spans="1:19" x14ac:dyDescent="0.3">
      <c r="A99" s="1">
        <v>1082</v>
      </c>
      <c r="B99" s="2">
        <v>45260</v>
      </c>
      <c r="C99" s="1" t="s">
        <v>33</v>
      </c>
      <c r="D99" s="1" t="s">
        <v>50</v>
      </c>
      <c r="E99" s="1">
        <v>6261.9</v>
      </c>
      <c r="F99" s="1">
        <v>41</v>
      </c>
      <c r="G99" s="1" t="s">
        <v>31</v>
      </c>
      <c r="H99" s="1">
        <v>1196.42</v>
      </c>
      <c r="I99" s="1">
        <v>1444.97</v>
      </c>
      <c r="J99" s="1" t="s">
        <v>17</v>
      </c>
      <c r="K99" s="1">
        <v>0.21</v>
      </c>
      <c r="L99" s="1" t="s">
        <v>25</v>
      </c>
      <c r="M99" s="1" t="s">
        <v>19</v>
      </c>
      <c r="N99" s="1">
        <f>SUM(Table3[[#This Row],[Unit_Price]]-Table3[[#This Row],[Unit_Cost]])</f>
        <v>248.54999999999995</v>
      </c>
      <c r="O99" s="7"/>
      <c r="P99" s="7"/>
      <c r="Q99" s="7"/>
      <c r="S99"/>
    </row>
    <row r="100" spans="1:19" x14ac:dyDescent="0.3">
      <c r="A100" s="1">
        <v>1053</v>
      </c>
      <c r="B100" s="2">
        <v>45063</v>
      </c>
      <c r="C100" s="1" t="s">
        <v>14</v>
      </c>
      <c r="D100" s="1" t="s">
        <v>44</v>
      </c>
      <c r="E100" s="1">
        <v>7835.09</v>
      </c>
      <c r="F100" s="1">
        <v>36</v>
      </c>
      <c r="G100" s="1" t="s">
        <v>26</v>
      </c>
      <c r="H100" s="1">
        <v>4252.17</v>
      </c>
      <c r="I100" s="1">
        <v>4720.2700000000004</v>
      </c>
      <c r="J100" s="1" t="s">
        <v>27</v>
      </c>
      <c r="K100" s="1">
        <v>0.09</v>
      </c>
      <c r="L100" s="1" t="s">
        <v>18</v>
      </c>
      <c r="M100" s="1" t="s">
        <v>21</v>
      </c>
      <c r="N100" s="1">
        <f>SUM(Table3[[#This Row],[Unit_Price]]-Table3[[#This Row],[Unit_Cost]])</f>
        <v>468.10000000000036</v>
      </c>
      <c r="O100" s="7"/>
      <c r="P100" s="7"/>
      <c r="Q100" s="7"/>
      <c r="S100"/>
    </row>
    <row r="101" spans="1:19" x14ac:dyDescent="0.3">
      <c r="A101" s="1">
        <v>1024</v>
      </c>
      <c r="B101" s="2">
        <v>45002</v>
      </c>
      <c r="C101" s="1" t="s">
        <v>32</v>
      </c>
      <c r="D101" s="1" t="s">
        <v>45</v>
      </c>
      <c r="E101" s="1">
        <v>5825.15</v>
      </c>
      <c r="F101" s="1">
        <v>46</v>
      </c>
      <c r="G101" s="1" t="s">
        <v>31</v>
      </c>
      <c r="H101" s="1">
        <v>2016.49</v>
      </c>
      <c r="I101" s="1">
        <v>2338.66</v>
      </c>
      <c r="J101" s="1" t="s">
        <v>17</v>
      </c>
      <c r="K101" s="1">
        <v>0.19</v>
      </c>
      <c r="L101" s="1" t="s">
        <v>25</v>
      </c>
      <c r="M101" s="1" t="s">
        <v>21</v>
      </c>
      <c r="N101" s="1">
        <f>SUM(Table3[[#This Row],[Unit_Price]]-Table3[[#This Row],[Unit_Cost]])</f>
        <v>322.16999999999985</v>
      </c>
      <c r="O101" s="7"/>
      <c r="P101" s="7"/>
      <c r="Q101" s="7"/>
      <c r="S101"/>
    </row>
    <row r="102" spans="1:19" x14ac:dyDescent="0.3">
      <c r="A102" s="1">
        <v>1026</v>
      </c>
      <c r="B102" s="2">
        <v>44961</v>
      </c>
      <c r="C102" s="1" t="s">
        <v>33</v>
      </c>
      <c r="D102" s="1" t="s">
        <v>46</v>
      </c>
      <c r="E102" s="1">
        <v>1554.93</v>
      </c>
      <c r="F102" s="1">
        <v>19</v>
      </c>
      <c r="G102" s="1" t="s">
        <v>31</v>
      </c>
      <c r="H102" s="1">
        <v>1265.48</v>
      </c>
      <c r="I102" s="1">
        <v>1715.83</v>
      </c>
      <c r="J102" s="1" t="s">
        <v>27</v>
      </c>
      <c r="K102" s="1">
        <v>0.05</v>
      </c>
      <c r="L102" s="1" t="s">
        <v>28</v>
      </c>
      <c r="M102" s="1" t="s">
        <v>21</v>
      </c>
      <c r="N102" s="1">
        <f>SUM(Table3[[#This Row],[Unit_Price]]-Table3[[#This Row],[Unit_Cost]])</f>
        <v>450.34999999999991</v>
      </c>
      <c r="O102" s="7"/>
      <c r="P102" s="7"/>
      <c r="Q102" s="7"/>
      <c r="S102"/>
    </row>
    <row r="103" spans="1:19" x14ac:dyDescent="0.3">
      <c r="A103" s="1">
        <v>1089</v>
      </c>
      <c r="B103" s="2">
        <v>44927</v>
      </c>
      <c r="C103" s="1" t="s">
        <v>29</v>
      </c>
      <c r="D103" s="1" t="s">
        <v>47</v>
      </c>
      <c r="E103" s="1">
        <v>8130.13</v>
      </c>
      <c r="F103" s="1">
        <v>35</v>
      </c>
      <c r="G103" s="1" t="s">
        <v>26</v>
      </c>
      <c r="H103" s="1">
        <v>4071.01</v>
      </c>
      <c r="I103" s="1">
        <v>4304.7</v>
      </c>
      <c r="J103" s="1" t="s">
        <v>27</v>
      </c>
      <c r="K103" s="1">
        <v>0.14000000000000001</v>
      </c>
      <c r="L103" s="1" t="s">
        <v>28</v>
      </c>
      <c r="M103" s="1" t="s">
        <v>19</v>
      </c>
      <c r="N103" s="1">
        <f>SUM(Table3[[#This Row],[Unit_Price]]-Table3[[#This Row],[Unit_Cost]])</f>
        <v>233.6899999999996</v>
      </c>
      <c r="O103" s="7"/>
      <c r="P103" s="7"/>
      <c r="Q103" s="7"/>
      <c r="S103"/>
    </row>
    <row r="104" spans="1:19" x14ac:dyDescent="0.3">
      <c r="A104" s="1">
        <v>1060</v>
      </c>
      <c r="B104" s="2">
        <v>45222</v>
      </c>
      <c r="C104" s="1" t="s">
        <v>14</v>
      </c>
      <c r="D104" s="1" t="s">
        <v>48</v>
      </c>
      <c r="E104" s="1">
        <v>6395.95</v>
      </c>
      <c r="F104" s="1">
        <v>46</v>
      </c>
      <c r="G104" s="1" t="s">
        <v>26</v>
      </c>
      <c r="H104" s="1">
        <v>1747.05</v>
      </c>
      <c r="I104" s="1">
        <v>1830.27</v>
      </c>
      <c r="J104" s="1" t="s">
        <v>27</v>
      </c>
      <c r="K104" s="1">
        <v>0.15</v>
      </c>
      <c r="L104" s="1" t="s">
        <v>25</v>
      </c>
      <c r="M104" s="1" t="s">
        <v>21</v>
      </c>
      <c r="N104" s="1">
        <f>SUM(Table3[[#This Row],[Unit_Price]]-Table3[[#This Row],[Unit_Cost]])</f>
        <v>83.220000000000027</v>
      </c>
      <c r="O104" s="7"/>
      <c r="P104" s="7"/>
      <c r="Q104" s="7"/>
      <c r="S104"/>
    </row>
    <row r="105" spans="1:19" x14ac:dyDescent="0.3">
      <c r="A105" s="1">
        <v>1041</v>
      </c>
      <c r="B105" s="2">
        <v>45246</v>
      </c>
      <c r="C105" s="1" t="s">
        <v>22</v>
      </c>
      <c r="D105" s="1" t="s">
        <v>49</v>
      </c>
      <c r="E105" s="1">
        <v>3942.84</v>
      </c>
      <c r="F105" s="1">
        <v>40</v>
      </c>
      <c r="G105" s="1" t="s">
        <v>24</v>
      </c>
      <c r="H105" s="1">
        <v>601.86</v>
      </c>
      <c r="I105" s="1">
        <v>1067.53</v>
      </c>
      <c r="J105" s="1" t="s">
        <v>27</v>
      </c>
      <c r="K105" s="1">
        <v>0.18</v>
      </c>
      <c r="L105" s="1" t="s">
        <v>18</v>
      </c>
      <c r="M105" s="1" t="s">
        <v>19</v>
      </c>
      <c r="N105" s="1">
        <f>SUM(Table3[[#This Row],[Unit_Price]]-Table3[[#This Row],[Unit_Cost]])</f>
        <v>465.66999999999996</v>
      </c>
      <c r="O105" s="7"/>
      <c r="P105" s="7"/>
      <c r="Q105" s="7"/>
      <c r="S105"/>
    </row>
    <row r="106" spans="1:19" x14ac:dyDescent="0.3">
      <c r="A106" s="1">
        <v>1029</v>
      </c>
      <c r="B106" s="2">
        <v>44986</v>
      </c>
      <c r="C106" s="1" t="s">
        <v>22</v>
      </c>
      <c r="D106" s="1" t="s">
        <v>50</v>
      </c>
      <c r="E106" s="1">
        <v>6773.89</v>
      </c>
      <c r="F106" s="1">
        <v>28</v>
      </c>
      <c r="G106" s="1" t="s">
        <v>26</v>
      </c>
      <c r="H106" s="1">
        <v>2873.53</v>
      </c>
      <c r="I106" s="1">
        <v>3108.3</v>
      </c>
      <c r="J106" s="1" t="s">
        <v>27</v>
      </c>
      <c r="K106" s="1">
        <v>0.15</v>
      </c>
      <c r="L106" s="1" t="s">
        <v>28</v>
      </c>
      <c r="M106" s="1" t="s">
        <v>21</v>
      </c>
      <c r="N106" s="1">
        <f>SUM(Table3[[#This Row],[Unit_Price]]-Table3[[#This Row],[Unit_Cost]])</f>
        <v>234.76999999999998</v>
      </c>
      <c r="O106" s="7"/>
      <c r="P106" s="7"/>
      <c r="Q106" s="7"/>
      <c r="S106"/>
    </row>
    <row r="107" spans="1:19" x14ac:dyDescent="0.3">
      <c r="A107" s="1">
        <v>1015</v>
      </c>
      <c r="B107" s="2">
        <v>45246</v>
      </c>
      <c r="C107" s="1" t="s">
        <v>32</v>
      </c>
      <c r="D107" s="1" t="s">
        <v>44</v>
      </c>
      <c r="E107" s="1">
        <v>2673.06</v>
      </c>
      <c r="F107" s="1">
        <v>1</v>
      </c>
      <c r="G107" s="1" t="s">
        <v>16</v>
      </c>
      <c r="H107" s="1">
        <v>2928.74</v>
      </c>
      <c r="I107" s="1">
        <v>3027.74</v>
      </c>
      <c r="J107" s="1" t="s">
        <v>27</v>
      </c>
      <c r="K107" s="1">
        <v>0.15</v>
      </c>
      <c r="L107" s="1" t="s">
        <v>25</v>
      </c>
      <c r="M107" s="1" t="s">
        <v>21</v>
      </c>
      <c r="N107" s="1">
        <f>SUM(Table3[[#This Row],[Unit_Price]]-Table3[[#This Row],[Unit_Cost]])</f>
        <v>99</v>
      </c>
      <c r="O107" s="7"/>
      <c r="P107" s="7"/>
      <c r="Q107" s="7"/>
      <c r="S107"/>
    </row>
    <row r="108" spans="1:19" x14ac:dyDescent="0.3">
      <c r="A108" s="1">
        <v>1045</v>
      </c>
      <c r="B108" s="2">
        <v>45275</v>
      </c>
      <c r="C108" s="1" t="s">
        <v>22</v>
      </c>
      <c r="D108" s="1" t="s">
        <v>45</v>
      </c>
      <c r="E108" s="1">
        <v>3517.4</v>
      </c>
      <c r="F108" s="1">
        <v>42</v>
      </c>
      <c r="G108" s="1" t="s">
        <v>26</v>
      </c>
      <c r="H108" s="1">
        <v>3587.74</v>
      </c>
      <c r="I108" s="1">
        <v>3745.91</v>
      </c>
      <c r="J108" s="1" t="s">
        <v>17</v>
      </c>
      <c r="K108" s="1">
        <v>0.1</v>
      </c>
      <c r="L108" s="1" t="s">
        <v>18</v>
      </c>
      <c r="M108" s="1" t="s">
        <v>19</v>
      </c>
      <c r="N108" s="1">
        <f>SUM(Table3[[#This Row],[Unit_Price]]-Table3[[#This Row],[Unit_Cost]])</f>
        <v>158.17000000000007</v>
      </c>
      <c r="O108" s="7"/>
      <c r="P108" s="7"/>
      <c r="Q108" s="7"/>
      <c r="S108"/>
    </row>
    <row r="109" spans="1:19" x14ac:dyDescent="0.3">
      <c r="A109" s="1">
        <v>1065</v>
      </c>
      <c r="B109" s="2">
        <v>45254</v>
      </c>
      <c r="C109" s="1" t="s">
        <v>14</v>
      </c>
      <c r="D109" s="1" t="s">
        <v>46</v>
      </c>
      <c r="E109" s="1">
        <v>9183.11</v>
      </c>
      <c r="F109" s="1">
        <v>18</v>
      </c>
      <c r="G109" s="1" t="s">
        <v>24</v>
      </c>
      <c r="H109" s="1">
        <v>1239.0899999999999</v>
      </c>
      <c r="I109" s="1">
        <v>1273.98</v>
      </c>
      <c r="J109" s="1" t="s">
        <v>27</v>
      </c>
      <c r="K109" s="1">
        <v>0.02</v>
      </c>
      <c r="L109" s="1" t="s">
        <v>25</v>
      </c>
      <c r="M109" s="1" t="s">
        <v>21</v>
      </c>
      <c r="N109" s="1">
        <f>SUM(Table3[[#This Row],[Unit_Price]]-Table3[[#This Row],[Unit_Cost]])</f>
        <v>34.8900000000001</v>
      </c>
      <c r="O109" s="7"/>
      <c r="P109" s="7"/>
      <c r="Q109" s="7"/>
      <c r="S109"/>
    </row>
    <row r="110" spans="1:19" x14ac:dyDescent="0.3">
      <c r="A110" s="1">
        <v>1089</v>
      </c>
      <c r="B110" s="2">
        <v>45193</v>
      </c>
      <c r="C110" s="1" t="s">
        <v>14</v>
      </c>
      <c r="D110" s="1" t="s">
        <v>47</v>
      </c>
      <c r="E110" s="1">
        <v>2975.99</v>
      </c>
      <c r="F110" s="1">
        <v>48</v>
      </c>
      <c r="G110" s="1" t="s">
        <v>24</v>
      </c>
      <c r="H110" s="1">
        <v>2246.67</v>
      </c>
      <c r="I110" s="1">
        <v>2486.14</v>
      </c>
      <c r="J110" s="1" t="s">
        <v>27</v>
      </c>
      <c r="K110" s="1">
        <v>0.03</v>
      </c>
      <c r="L110" s="1" t="s">
        <v>18</v>
      </c>
      <c r="M110" s="1" t="s">
        <v>21</v>
      </c>
      <c r="N110" s="1">
        <f>SUM(Table3[[#This Row],[Unit_Price]]-Table3[[#This Row],[Unit_Cost]])</f>
        <v>239.4699999999998</v>
      </c>
      <c r="O110" s="7"/>
      <c r="P110" s="7"/>
      <c r="Q110" s="7"/>
      <c r="S110"/>
    </row>
    <row r="111" spans="1:19" x14ac:dyDescent="0.3">
      <c r="A111" s="1">
        <v>1071</v>
      </c>
      <c r="B111" s="2">
        <v>45287</v>
      </c>
      <c r="C111" s="1" t="s">
        <v>22</v>
      </c>
      <c r="D111" s="1" t="s">
        <v>48</v>
      </c>
      <c r="E111" s="1">
        <v>4752.88</v>
      </c>
      <c r="F111" s="1">
        <v>40</v>
      </c>
      <c r="G111" s="1" t="s">
        <v>24</v>
      </c>
      <c r="H111" s="1">
        <v>1447.72</v>
      </c>
      <c r="I111" s="1">
        <v>1875.75</v>
      </c>
      <c r="J111" s="1" t="s">
        <v>27</v>
      </c>
      <c r="K111" s="1">
        <v>0.13</v>
      </c>
      <c r="L111" s="1" t="s">
        <v>18</v>
      </c>
      <c r="M111" s="1" t="s">
        <v>21</v>
      </c>
      <c r="N111" s="1">
        <f>SUM(Table3[[#This Row],[Unit_Price]]-Table3[[#This Row],[Unit_Cost]])</f>
        <v>428.03</v>
      </c>
      <c r="O111" s="7"/>
      <c r="P111" s="7"/>
      <c r="Q111" s="7"/>
      <c r="S111"/>
    </row>
    <row r="112" spans="1:19" x14ac:dyDescent="0.3">
      <c r="A112" s="1">
        <v>1009</v>
      </c>
      <c r="B112" s="2">
        <v>45155</v>
      </c>
      <c r="C112" s="1" t="s">
        <v>14</v>
      </c>
      <c r="D112" s="1" t="s">
        <v>49</v>
      </c>
      <c r="E112" s="1">
        <v>8912.4</v>
      </c>
      <c r="F112" s="1">
        <v>33</v>
      </c>
      <c r="G112" s="1" t="s">
        <v>26</v>
      </c>
      <c r="H112" s="1">
        <v>450.72</v>
      </c>
      <c r="I112" s="1">
        <v>918.17</v>
      </c>
      <c r="J112" s="1" t="s">
        <v>17</v>
      </c>
      <c r="K112" s="1">
        <v>0.11</v>
      </c>
      <c r="L112" s="1" t="s">
        <v>18</v>
      </c>
      <c r="M112" s="1" t="s">
        <v>19</v>
      </c>
      <c r="N112" s="1">
        <f>SUM(Table3[[#This Row],[Unit_Price]]-Table3[[#This Row],[Unit_Cost]])</f>
        <v>467.44999999999993</v>
      </c>
      <c r="O112" s="7"/>
      <c r="P112" s="7"/>
      <c r="Q112" s="7"/>
      <c r="S112"/>
    </row>
    <row r="113" spans="1:19" x14ac:dyDescent="0.3">
      <c r="A113" s="1">
        <v>1088</v>
      </c>
      <c r="B113" s="2">
        <v>45196</v>
      </c>
      <c r="C113" s="1" t="s">
        <v>32</v>
      </c>
      <c r="D113" s="1" t="s">
        <v>50</v>
      </c>
      <c r="E113" s="1">
        <v>7106.44</v>
      </c>
      <c r="F113" s="1">
        <v>12</v>
      </c>
      <c r="G113" s="1" t="s">
        <v>26</v>
      </c>
      <c r="H113" s="1">
        <v>4389.24</v>
      </c>
      <c r="I113" s="1">
        <v>4856.2199999999903</v>
      </c>
      <c r="J113" s="1" t="s">
        <v>17</v>
      </c>
      <c r="K113" s="1">
        <v>0.15</v>
      </c>
      <c r="L113" s="1" t="s">
        <v>18</v>
      </c>
      <c r="M113" s="1" t="s">
        <v>21</v>
      </c>
      <c r="N113" s="1">
        <f>SUM(Table3[[#This Row],[Unit_Price]]-Table3[[#This Row],[Unit_Cost]])</f>
        <v>466.97999999999047</v>
      </c>
      <c r="O113" s="7"/>
      <c r="P113" s="7"/>
      <c r="Q113" s="7"/>
      <c r="S113"/>
    </row>
    <row r="114" spans="1:19" x14ac:dyDescent="0.3">
      <c r="A114" s="1">
        <v>1001</v>
      </c>
      <c r="B114" s="2">
        <v>45242</v>
      </c>
      <c r="C114" s="1" t="s">
        <v>33</v>
      </c>
      <c r="D114" s="1" t="s">
        <v>44</v>
      </c>
      <c r="E114" s="1">
        <v>715.81</v>
      </c>
      <c r="F114" s="1">
        <v>8</v>
      </c>
      <c r="G114" s="1" t="s">
        <v>31</v>
      </c>
      <c r="H114" s="1">
        <v>3657.91</v>
      </c>
      <c r="I114" s="1">
        <v>3729.27</v>
      </c>
      <c r="J114" s="1" t="s">
        <v>27</v>
      </c>
      <c r="K114" s="1">
        <v>0.09</v>
      </c>
      <c r="L114" s="1" t="s">
        <v>25</v>
      </c>
      <c r="M114" s="1" t="s">
        <v>21</v>
      </c>
      <c r="N114" s="1">
        <f>SUM(Table3[[#This Row],[Unit_Price]]-Table3[[#This Row],[Unit_Cost]])</f>
        <v>71.360000000000127</v>
      </c>
      <c r="O114" s="7"/>
      <c r="P114" s="7"/>
      <c r="Q114" s="7"/>
      <c r="S114"/>
    </row>
    <row r="115" spans="1:19" x14ac:dyDescent="0.3">
      <c r="A115" s="1">
        <v>1008</v>
      </c>
      <c r="B115" s="2">
        <v>45212</v>
      </c>
      <c r="C115" s="1" t="s">
        <v>32</v>
      </c>
      <c r="D115" s="1" t="s">
        <v>45</v>
      </c>
      <c r="E115" s="1">
        <v>1558.3</v>
      </c>
      <c r="F115" s="1">
        <v>24</v>
      </c>
      <c r="G115" s="1" t="s">
        <v>31</v>
      </c>
      <c r="H115" s="1">
        <v>1542.24</v>
      </c>
      <c r="I115" s="1">
        <v>1739.45</v>
      </c>
      <c r="J115" s="1" t="s">
        <v>17</v>
      </c>
      <c r="K115" s="1">
        <v>0.21</v>
      </c>
      <c r="L115" s="1" t="s">
        <v>25</v>
      </c>
      <c r="M115" s="1" t="s">
        <v>21</v>
      </c>
      <c r="N115" s="1">
        <f>SUM(Table3[[#This Row],[Unit_Price]]-Table3[[#This Row],[Unit_Cost]])</f>
        <v>197.21000000000004</v>
      </c>
      <c r="O115" s="7"/>
      <c r="P115" s="7"/>
      <c r="Q115" s="7"/>
      <c r="S115"/>
    </row>
    <row r="116" spans="1:19" x14ac:dyDescent="0.3">
      <c r="A116" s="1">
        <v>1088</v>
      </c>
      <c r="B116" s="2">
        <v>45217</v>
      </c>
      <c r="C116" s="1" t="s">
        <v>32</v>
      </c>
      <c r="D116" s="1" t="s">
        <v>46</v>
      </c>
      <c r="E116" s="1">
        <v>177.63</v>
      </c>
      <c r="F116" s="1">
        <v>16</v>
      </c>
      <c r="G116" s="1" t="s">
        <v>16</v>
      </c>
      <c r="H116" s="1">
        <v>3016.9</v>
      </c>
      <c r="I116" s="1">
        <v>3040.73</v>
      </c>
      <c r="J116" s="1" t="s">
        <v>27</v>
      </c>
      <c r="K116" s="1">
        <v>0.26</v>
      </c>
      <c r="L116" s="1" t="s">
        <v>25</v>
      </c>
      <c r="M116" s="1" t="s">
        <v>21</v>
      </c>
      <c r="N116" s="1">
        <f>SUM(Table3[[#This Row],[Unit_Price]]-Table3[[#This Row],[Unit_Cost]])</f>
        <v>23.829999999999927</v>
      </c>
      <c r="O116" s="7"/>
      <c r="P116" s="7"/>
      <c r="Q116" s="7"/>
      <c r="S116"/>
    </row>
    <row r="117" spans="1:19" x14ac:dyDescent="0.3">
      <c r="A117" s="1">
        <v>1063</v>
      </c>
      <c r="B117" s="2">
        <v>45139</v>
      </c>
      <c r="C117" s="1" t="s">
        <v>14</v>
      </c>
      <c r="D117" s="1" t="s">
        <v>47</v>
      </c>
      <c r="E117" s="1">
        <v>6346.13</v>
      </c>
      <c r="F117" s="1">
        <v>4</v>
      </c>
      <c r="G117" s="1" t="s">
        <v>31</v>
      </c>
      <c r="H117" s="1">
        <v>1046.26</v>
      </c>
      <c r="I117" s="1">
        <v>1475.29</v>
      </c>
      <c r="J117" s="1" t="s">
        <v>17</v>
      </c>
      <c r="K117" s="1">
        <v>0.09</v>
      </c>
      <c r="L117" s="1" t="s">
        <v>25</v>
      </c>
      <c r="M117" s="1" t="s">
        <v>21</v>
      </c>
      <c r="N117" s="1">
        <f>SUM(Table3[[#This Row],[Unit_Price]]-Table3[[#This Row],[Unit_Cost]])</f>
        <v>429.03</v>
      </c>
      <c r="O117" s="7"/>
      <c r="P117" s="7"/>
      <c r="Q117" s="7"/>
      <c r="S117"/>
    </row>
    <row r="118" spans="1:19" x14ac:dyDescent="0.3">
      <c r="A118" s="1">
        <v>1011</v>
      </c>
      <c r="B118" s="2">
        <v>45091</v>
      </c>
      <c r="C118" s="1" t="s">
        <v>33</v>
      </c>
      <c r="D118" s="1" t="s">
        <v>48</v>
      </c>
      <c r="E118" s="1">
        <v>4531.97</v>
      </c>
      <c r="F118" s="1">
        <v>38</v>
      </c>
      <c r="G118" s="1" t="s">
        <v>16</v>
      </c>
      <c r="H118" s="1">
        <v>4456.67</v>
      </c>
      <c r="I118" s="1">
        <v>4642.46</v>
      </c>
      <c r="J118" s="1" t="s">
        <v>27</v>
      </c>
      <c r="K118" s="1">
        <v>0.06</v>
      </c>
      <c r="L118" s="1" t="s">
        <v>25</v>
      </c>
      <c r="M118" s="1" t="s">
        <v>19</v>
      </c>
      <c r="N118" s="1">
        <f>SUM(Table3[[#This Row],[Unit_Price]]-Table3[[#This Row],[Unit_Cost]])</f>
        <v>185.78999999999996</v>
      </c>
      <c r="O118" s="7"/>
      <c r="P118" s="7"/>
      <c r="Q118" s="7"/>
      <c r="S118"/>
    </row>
    <row r="119" spans="1:19" x14ac:dyDescent="0.3">
      <c r="A119" s="1">
        <v>1081</v>
      </c>
      <c r="B119" s="2">
        <v>44931</v>
      </c>
      <c r="C119" s="1" t="s">
        <v>14</v>
      </c>
      <c r="D119" s="1" t="s">
        <v>49</v>
      </c>
      <c r="E119" s="1">
        <v>1429.32</v>
      </c>
      <c r="F119" s="1">
        <v>44</v>
      </c>
      <c r="G119" s="1" t="s">
        <v>24</v>
      </c>
      <c r="H119" s="1">
        <v>618.79</v>
      </c>
      <c r="I119" s="1">
        <v>938.04</v>
      </c>
      <c r="J119" s="1" t="s">
        <v>17</v>
      </c>
      <c r="K119" s="1">
        <v>0.03</v>
      </c>
      <c r="L119" s="1" t="s">
        <v>18</v>
      </c>
      <c r="M119" s="1" t="s">
        <v>19</v>
      </c>
      <c r="N119" s="1">
        <f>SUM(Table3[[#This Row],[Unit_Price]]-Table3[[#This Row],[Unit_Cost]])</f>
        <v>319.25</v>
      </c>
      <c r="O119" s="7"/>
      <c r="P119" s="7"/>
      <c r="Q119" s="7"/>
      <c r="S119"/>
    </row>
    <row r="120" spans="1:19" x14ac:dyDescent="0.3">
      <c r="A120" s="1">
        <v>1008</v>
      </c>
      <c r="B120" s="2">
        <v>45265</v>
      </c>
      <c r="C120" s="1" t="s">
        <v>29</v>
      </c>
      <c r="D120" s="1" t="s">
        <v>50</v>
      </c>
      <c r="E120" s="1">
        <v>9583.5499999999993</v>
      </c>
      <c r="F120" s="1">
        <v>27</v>
      </c>
      <c r="G120" s="1" t="s">
        <v>31</v>
      </c>
      <c r="H120" s="1">
        <v>68.989999999999995</v>
      </c>
      <c r="I120" s="1">
        <v>429.29</v>
      </c>
      <c r="J120" s="1" t="s">
        <v>17</v>
      </c>
      <c r="K120" s="1">
        <v>0.18</v>
      </c>
      <c r="L120" s="1" t="s">
        <v>28</v>
      </c>
      <c r="M120" s="1" t="s">
        <v>21</v>
      </c>
      <c r="N120" s="1">
        <f>SUM(Table3[[#This Row],[Unit_Price]]-Table3[[#This Row],[Unit_Cost]])</f>
        <v>360.3</v>
      </c>
      <c r="O120" s="7"/>
      <c r="P120" s="7"/>
      <c r="Q120" s="7"/>
      <c r="S120"/>
    </row>
    <row r="121" spans="1:19" x14ac:dyDescent="0.3">
      <c r="A121" s="1">
        <v>1035</v>
      </c>
      <c r="B121" s="2">
        <v>45004</v>
      </c>
      <c r="C121" s="1" t="s">
        <v>14</v>
      </c>
      <c r="D121" s="1" t="s">
        <v>44</v>
      </c>
      <c r="E121" s="1">
        <v>5343.63</v>
      </c>
      <c r="F121" s="1">
        <v>9</v>
      </c>
      <c r="G121" s="1" t="s">
        <v>26</v>
      </c>
      <c r="H121" s="1">
        <v>2534.94</v>
      </c>
      <c r="I121" s="1">
        <v>2755.56</v>
      </c>
      <c r="J121" s="1" t="s">
        <v>17</v>
      </c>
      <c r="K121" s="1">
        <v>0.13</v>
      </c>
      <c r="L121" s="1" t="s">
        <v>28</v>
      </c>
      <c r="M121" s="1" t="s">
        <v>21</v>
      </c>
      <c r="N121" s="1">
        <f>SUM(Table3[[#This Row],[Unit_Price]]-Table3[[#This Row],[Unit_Cost]])</f>
        <v>220.61999999999989</v>
      </c>
      <c r="O121" s="7"/>
      <c r="P121" s="7"/>
      <c r="Q121" s="7"/>
      <c r="S121"/>
    </row>
    <row r="122" spans="1:19" x14ac:dyDescent="0.3">
      <c r="A122" s="1">
        <v>1035</v>
      </c>
      <c r="B122" s="2">
        <v>44988</v>
      </c>
      <c r="C122" s="1" t="s">
        <v>14</v>
      </c>
      <c r="D122" s="1" t="s">
        <v>45</v>
      </c>
      <c r="E122" s="1">
        <v>2494.7399999999998</v>
      </c>
      <c r="F122" s="1">
        <v>47</v>
      </c>
      <c r="G122" s="1" t="s">
        <v>31</v>
      </c>
      <c r="H122" s="1">
        <v>2936.48</v>
      </c>
      <c r="I122" s="1">
        <v>3096.64</v>
      </c>
      <c r="J122" s="1" t="s">
        <v>27</v>
      </c>
      <c r="K122" s="1">
        <v>0.06</v>
      </c>
      <c r="L122" s="1" t="s">
        <v>25</v>
      </c>
      <c r="M122" s="1" t="s">
        <v>19</v>
      </c>
      <c r="N122" s="1">
        <f>SUM(Table3[[#This Row],[Unit_Price]]-Table3[[#This Row],[Unit_Cost]])</f>
        <v>160.15999999999985</v>
      </c>
      <c r="O122" s="7"/>
      <c r="P122" s="7"/>
      <c r="Q122" s="7"/>
      <c r="S122"/>
    </row>
    <row r="123" spans="1:19" x14ac:dyDescent="0.3">
      <c r="A123" s="1">
        <v>1033</v>
      </c>
      <c r="B123" s="2">
        <v>45058</v>
      </c>
      <c r="C123" s="1" t="s">
        <v>14</v>
      </c>
      <c r="D123" s="1" t="s">
        <v>46</v>
      </c>
      <c r="E123" s="1">
        <v>5055.9799999999996</v>
      </c>
      <c r="F123" s="1">
        <v>16</v>
      </c>
      <c r="G123" s="1" t="s">
        <v>16</v>
      </c>
      <c r="H123" s="1">
        <v>2915.88</v>
      </c>
      <c r="I123" s="1">
        <v>3397.36</v>
      </c>
      <c r="J123" s="1" t="s">
        <v>27</v>
      </c>
      <c r="K123" s="1">
        <v>0.2</v>
      </c>
      <c r="L123" s="1" t="s">
        <v>25</v>
      </c>
      <c r="M123" s="1" t="s">
        <v>21</v>
      </c>
      <c r="N123" s="1">
        <f>SUM(Table3[[#This Row],[Unit_Price]]-Table3[[#This Row],[Unit_Cost]])</f>
        <v>481.48</v>
      </c>
      <c r="O123" s="7"/>
      <c r="P123" s="7"/>
      <c r="Q123" s="7"/>
      <c r="S123"/>
    </row>
    <row r="124" spans="1:19" x14ac:dyDescent="0.3">
      <c r="A124" s="1">
        <v>1005</v>
      </c>
      <c r="B124" s="2">
        <v>45015</v>
      </c>
      <c r="C124" s="1" t="s">
        <v>33</v>
      </c>
      <c r="D124" s="1" t="s">
        <v>47</v>
      </c>
      <c r="E124" s="1">
        <v>6828.24</v>
      </c>
      <c r="F124" s="1">
        <v>12</v>
      </c>
      <c r="G124" s="1" t="s">
        <v>31</v>
      </c>
      <c r="H124" s="1">
        <v>319.83</v>
      </c>
      <c r="I124" s="1">
        <v>802.43</v>
      </c>
      <c r="J124" s="1" t="s">
        <v>27</v>
      </c>
      <c r="K124" s="1">
        <v>0.04</v>
      </c>
      <c r="L124" s="1" t="s">
        <v>28</v>
      </c>
      <c r="M124" s="1" t="s">
        <v>21</v>
      </c>
      <c r="N124" s="1">
        <f>SUM(Table3[[#This Row],[Unit_Price]]-Table3[[#This Row],[Unit_Cost]])</f>
        <v>482.59999999999997</v>
      </c>
      <c r="O124" s="7"/>
      <c r="P124" s="7"/>
      <c r="Q124" s="7"/>
      <c r="S124"/>
    </row>
    <row r="125" spans="1:19" x14ac:dyDescent="0.3">
      <c r="A125" s="1">
        <v>1041</v>
      </c>
      <c r="B125" s="2">
        <v>45163</v>
      </c>
      <c r="C125" s="1" t="s">
        <v>14</v>
      </c>
      <c r="D125" s="1" t="s">
        <v>48</v>
      </c>
      <c r="E125" s="1">
        <v>854.77</v>
      </c>
      <c r="F125" s="1">
        <v>31</v>
      </c>
      <c r="G125" s="1" t="s">
        <v>24</v>
      </c>
      <c r="H125" s="1">
        <v>1604.52</v>
      </c>
      <c r="I125" s="1">
        <v>1756.34</v>
      </c>
      <c r="J125" s="1" t="s">
        <v>17</v>
      </c>
      <c r="K125" s="1">
        <v>0.17</v>
      </c>
      <c r="L125" s="1" t="s">
        <v>18</v>
      </c>
      <c r="M125" s="1" t="s">
        <v>21</v>
      </c>
      <c r="N125" s="1">
        <f>SUM(Table3[[#This Row],[Unit_Price]]-Table3[[#This Row],[Unit_Cost]])</f>
        <v>151.81999999999994</v>
      </c>
      <c r="O125" s="7"/>
      <c r="P125" s="7"/>
      <c r="Q125" s="7"/>
      <c r="S125"/>
    </row>
    <row r="126" spans="1:19" x14ac:dyDescent="0.3">
      <c r="A126" s="1">
        <v>1028</v>
      </c>
      <c r="B126" s="2">
        <v>44968</v>
      </c>
      <c r="C126" s="1" t="s">
        <v>33</v>
      </c>
      <c r="D126" s="1" t="s">
        <v>49</v>
      </c>
      <c r="E126" s="1">
        <v>2819.57</v>
      </c>
      <c r="F126" s="1">
        <v>24</v>
      </c>
      <c r="G126" s="1" t="s">
        <v>26</v>
      </c>
      <c r="H126" s="1">
        <v>2521.0300000000002</v>
      </c>
      <c r="I126" s="1">
        <v>2766.05</v>
      </c>
      <c r="J126" s="1" t="s">
        <v>17</v>
      </c>
      <c r="K126" s="1">
        <v>0.16</v>
      </c>
      <c r="L126" s="1" t="s">
        <v>25</v>
      </c>
      <c r="M126" s="1" t="s">
        <v>21</v>
      </c>
      <c r="N126" s="1">
        <f>SUM(Table3[[#This Row],[Unit_Price]]-Table3[[#This Row],[Unit_Cost]])</f>
        <v>245.01999999999998</v>
      </c>
      <c r="O126" s="7"/>
      <c r="P126" s="7"/>
      <c r="Q126" s="7"/>
      <c r="S126"/>
    </row>
    <row r="127" spans="1:19" x14ac:dyDescent="0.3">
      <c r="A127" s="1">
        <v>1007</v>
      </c>
      <c r="B127" s="2">
        <v>45015</v>
      </c>
      <c r="C127" s="1" t="s">
        <v>22</v>
      </c>
      <c r="D127" s="1" t="s">
        <v>50</v>
      </c>
      <c r="E127" s="1">
        <v>8088.96</v>
      </c>
      <c r="F127" s="1">
        <v>14</v>
      </c>
      <c r="G127" s="1" t="s">
        <v>16</v>
      </c>
      <c r="H127" s="1">
        <v>1122.07</v>
      </c>
      <c r="I127" s="1">
        <v>1608.76</v>
      </c>
      <c r="J127" s="1" t="s">
        <v>27</v>
      </c>
      <c r="K127" s="1">
        <v>0.22</v>
      </c>
      <c r="L127" s="1" t="s">
        <v>18</v>
      </c>
      <c r="M127" s="1" t="s">
        <v>21</v>
      </c>
      <c r="N127" s="1">
        <f>SUM(Table3[[#This Row],[Unit_Price]]-Table3[[#This Row],[Unit_Cost]])</f>
        <v>486.69000000000005</v>
      </c>
      <c r="O127" s="7"/>
      <c r="P127" s="7"/>
      <c r="Q127" s="7"/>
      <c r="S127"/>
    </row>
    <row r="128" spans="1:19" x14ac:dyDescent="0.3">
      <c r="A128" s="1">
        <v>1073</v>
      </c>
      <c r="B128" s="2">
        <v>45222</v>
      </c>
      <c r="C128" s="1" t="s">
        <v>29</v>
      </c>
      <c r="D128" s="1" t="s">
        <v>44</v>
      </c>
      <c r="E128" s="1">
        <v>4650.68</v>
      </c>
      <c r="F128" s="1">
        <v>45</v>
      </c>
      <c r="G128" s="1" t="s">
        <v>26</v>
      </c>
      <c r="H128" s="1">
        <v>4369.5</v>
      </c>
      <c r="I128" s="1">
        <v>4381.8900000000003</v>
      </c>
      <c r="J128" s="1" t="s">
        <v>17</v>
      </c>
      <c r="K128" s="1">
        <v>0.02</v>
      </c>
      <c r="L128" s="1" t="s">
        <v>28</v>
      </c>
      <c r="M128" s="1" t="s">
        <v>21</v>
      </c>
      <c r="N128" s="1">
        <f>SUM(Table3[[#This Row],[Unit_Price]]-Table3[[#This Row],[Unit_Cost]])</f>
        <v>12.390000000000327</v>
      </c>
      <c r="O128" s="7"/>
      <c r="P128" s="7"/>
      <c r="Q128" s="7"/>
      <c r="S128"/>
    </row>
    <row r="129" spans="1:19" x14ac:dyDescent="0.3">
      <c r="A129" s="1">
        <v>1072</v>
      </c>
      <c r="B129" s="2">
        <v>45254</v>
      </c>
      <c r="C129" s="1" t="s">
        <v>33</v>
      </c>
      <c r="D129" s="1" t="s">
        <v>45</v>
      </c>
      <c r="E129" s="1">
        <v>5511.11</v>
      </c>
      <c r="F129" s="1">
        <v>25</v>
      </c>
      <c r="G129" s="1" t="s">
        <v>26</v>
      </c>
      <c r="H129" s="1">
        <v>481.19</v>
      </c>
      <c r="I129" s="1">
        <v>693.4</v>
      </c>
      <c r="J129" s="1" t="s">
        <v>27</v>
      </c>
      <c r="K129" s="1">
        <v>0.27</v>
      </c>
      <c r="L129" s="1" t="s">
        <v>28</v>
      </c>
      <c r="M129" s="1" t="s">
        <v>21</v>
      </c>
      <c r="N129" s="1">
        <f>SUM(Table3[[#This Row],[Unit_Price]]-Table3[[#This Row],[Unit_Cost]])</f>
        <v>212.20999999999998</v>
      </c>
      <c r="O129" s="7"/>
      <c r="P129" s="7"/>
      <c r="Q129" s="7"/>
      <c r="S129"/>
    </row>
    <row r="130" spans="1:19" x14ac:dyDescent="0.3">
      <c r="A130" s="1">
        <v>1012</v>
      </c>
      <c r="B130" s="2">
        <v>45221</v>
      </c>
      <c r="C130" s="1" t="s">
        <v>22</v>
      </c>
      <c r="D130" s="1" t="s">
        <v>46</v>
      </c>
      <c r="E130" s="1">
        <v>4384.88</v>
      </c>
      <c r="F130" s="1">
        <v>34</v>
      </c>
      <c r="G130" s="1" t="s">
        <v>16</v>
      </c>
      <c r="H130" s="1">
        <v>2462.5500000000002</v>
      </c>
      <c r="I130" s="1">
        <v>2521.77</v>
      </c>
      <c r="J130" s="1" t="s">
        <v>27</v>
      </c>
      <c r="K130" s="1">
        <v>0.21</v>
      </c>
      <c r="L130" s="1" t="s">
        <v>25</v>
      </c>
      <c r="M130" s="1" t="s">
        <v>21</v>
      </c>
      <c r="N130" s="1">
        <f>SUM(Table3[[#This Row],[Unit_Price]]-Table3[[#This Row],[Unit_Cost]])</f>
        <v>59.2199999999998</v>
      </c>
      <c r="O130" s="7"/>
      <c r="P130" s="7"/>
      <c r="Q130" s="7"/>
      <c r="S130"/>
    </row>
    <row r="131" spans="1:19" x14ac:dyDescent="0.3">
      <c r="A131" s="1">
        <v>1034</v>
      </c>
      <c r="B131" s="2">
        <v>45030</v>
      </c>
      <c r="C131" s="1" t="s">
        <v>33</v>
      </c>
      <c r="D131" s="1" t="s">
        <v>47</v>
      </c>
      <c r="E131" s="1">
        <v>534.61</v>
      </c>
      <c r="F131" s="1">
        <v>3</v>
      </c>
      <c r="G131" s="1" t="s">
        <v>26</v>
      </c>
      <c r="H131" s="1">
        <v>3472.51</v>
      </c>
      <c r="I131" s="1">
        <v>3732</v>
      </c>
      <c r="J131" s="1" t="s">
        <v>27</v>
      </c>
      <c r="K131" s="1">
        <v>0.06</v>
      </c>
      <c r="L131" s="1" t="s">
        <v>18</v>
      </c>
      <c r="M131" s="1" t="s">
        <v>19</v>
      </c>
      <c r="N131" s="1">
        <f>SUM(Table3[[#This Row],[Unit_Price]]-Table3[[#This Row],[Unit_Cost]])</f>
        <v>259.48999999999978</v>
      </c>
      <c r="O131" s="7"/>
      <c r="P131" s="7"/>
      <c r="Q131" s="7"/>
      <c r="S131"/>
    </row>
    <row r="132" spans="1:19" x14ac:dyDescent="0.3">
      <c r="A132" s="1">
        <v>1033</v>
      </c>
      <c r="B132" s="2">
        <v>44940</v>
      </c>
      <c r="C132" s="1" t="s">
        <v>33</v>
      </c>
      <c r="D132" s="1" t="s">
        <v>48</v>
      </c>
      <c r="E132" s="1">
        <v>1740.92</v>
      </c>
      <c r="F132" s="1">
        <v>24</v>
      </c>
      <c r="G132" s="1" t="s">
        <v>26</v>
      </c>
      <c r="H132" s="1">
        <v>1345.67</v>
      </c>
      <c r="I132" s="1">
        <v>1367.76</v>
      </c>
      <c r="J132" s="1" t="s">
        <v>27</v>
      </c>
      <c r="K132" s="1">
        <v>0.06</v>
      </c>
      <c r="L132" s="1" t="s">
        <v>25</v>
      </c>
      <c r="M132" s="1" t="s">
        <v>19</v>
      </c>
      <c r="N132" s="1">
        <f>SUM(Table3[[#This Row],[Unit_Price]]-Table3[[#This Row],[Unit_Cost]])</f>
        <v>22.089999999999918</v>
      </c>
      <c r="O132" s="7"/>
      <c r="P132" s="7"/>
      <c r="Q132" s="7"/>
      <c r="S132"/>
    </row>
    <row r="133" spans="1:19" x14ac:dyDescent="0.3">
      <c r="A133" s="1">
        <v>1048</v>
      </c>
      <c r="B133" s="2">
        <v>45214</v>
      </c>
      <c r="C133" s="1" t="s">
        <v>29</v>
      </c>
      <c r="D133" s="1" t="s">
        <v>49</v>
      </c>
      <c r="E133" s="1">
        <v>4510.8599999999997</v>
      </c>
      <c r="F133" s="1">
        <v>42</v>
      </c>
      <c r="G133" s="1" t="s">
        <v>31</v>
      </c>
      <c r="H133" s="1">
        <v>3139.99</v>
      </c>
      <c r="I133" s="1">
        <v>3349.37</v>
      </c>
      <c r="J133" s="1" t="s">
        <v>17</v>
      </c>
      <c r="K133" s="1">
        <v>0.13</v>
      </c>
      <c r="L133" s="1" t="s">
        <v>28</v>
      </c>
      <c r="M133" s="1" t="s">
        <v>21</v>
      </c>
      <c r="N133" s="1">
        <f>SUM(Table3[[#This Row],[Unit_Price]]-Table3[[#This Row],[Unit_Cost]])</f>
        <v>209.38000000000011</v>
      </c>
      <c r="O133" s="7"/>
      <c r="P133" s="7"/>
      <c r="Q133" s="7"/>
      <c r="S133"/>
    </row>
    <row r="134" spans="1:19" x14ac:dyDescent="0.3">
      <c r="A134" s="1">
        <v>1023</v>
      </c>
      <c r="B134" s="2">
        <v>45105</v>
      </c>
      <c r="C134" s="1" t="s">
        <v>32</v>
      </c>
      <c r="D134" s="1" t="s">
        <v>50</v>
      </c>
      <c r="E134" s="1">
        <v>2170.94</v>
      </c>
      <c r="F134" s="1">
        <v>9</v>
      </c>
      <c r="G134" s="1" t="s">
        <v>26</v>
      </c>
      <c r="H134" s="1">
        <v>4155.46</v>
      </c>
      <c r="I134" s="1">
        <v>4273.6000000000004</v>
      </c>
      <c r="J134" s="1" t="s">
        <v>17</v>
      </c>
      <c r="K134" s="1">
        <v>0.25</v>
      </c>
      <c r="L134" s="1" t="s">
        <v>18</v>
      </c>
      <c r="M134" s="1" t="s">
        <v>21</v>
      </c>
      <c r="N134" s="1">
        <f>SUM(Table3[[#This Row],[Unit_Price]]-Table3[[#This Row],[Unit_Cost]])</f>
        <v>118.14000000000033</v>
      </c>
      <c r="O134" s="7"/>
      <c r="P134" s="7"/>
      <c r="Q134" s="7"/>
      <c r="S134"/>
    </row>
    <row r="135" spans="1:19" x14ac:dyDescent="0.3">
      <c r="A135" s="1">
        <v>1062</v>
      </c>
      <c r="B135" s="2">
        <v>45051</v>
      </c>
      <c r="C135" s="1" t="s">
        <v>32</v>
      </c>
      <c r="D135" s="1" t="s">
        <v>44</v>
      </c>
      <c r="E135" s="1">
        <v>594.79</v>
      </c>
      <c r="F135" s="1">
        <v>26</v>
      </c>
      <c r="G135" s="1" t="s">
        <v>26</v>
      </c>
      <c r="H135" s="1">
        <v>992.17</v>
      </c>
      <c r="I135" s="1">
        <v>1263.49</v>
      </c>
      <c r="J135" s="1" t="s">
        <v>17</v>
      </c>
      <c r="K135" s="1">
        <v>0.25</v>
      </c>
      <c r="L135" s="1" t="s">
        <v>25</v>
      </c>
      <c r="M135" s="1" t="s">
        <v>21</v>
      </c>
      <c r="N135" s="1">
        <f>SUM(Table3[[#This Row],[Unit_Price]]-Table3[[#This Row],[Unit_Cost]])</f>
        <v>271.32000000000005</v>
      </c>
      <c r="O135" s="7"/>
      <c r="P135" s="7"/>
      <c r="Q135" s="7"/>
      <c r="S135"/>
    </row>
    <row r="136" spans="1:19" x14ac:dyDescent="0.3">
      <c r="A136" s="1">
        <v>1088</v>
      </c>
      <c r="B136" s="2">
        <v>45279</v>
      </c>
      <c r="C136" s="1" t="s">
        <v>33</v>
      </c>
      <c r="D136" s="1" t="s">
        <v>45</v>
      </c>
      <c r="E136" s="1">
        <v>8452.1299999999992</v>
      </c>
      <c r="F136" s="1">
        <v>20</v>
      </c>
      <c r="G136" s="1" t="s">
        <v>26</v>
      </c>
      <c r="H136" s="1">
        <v>4590.24</v>
      </c>
      <c r="I136" s="1">
        <v>5088.28</v>
      </c>
      <c r="J136" s="1" t="s">
        <v>27</v>
      </c>
      <c r="K136" s="1">
        <v>0.16</v>
      </c>
      <c r="L136" s="1" t="s">
        <v>25</v>
      </c>
      <c r="M136" s="1" t="s">
        <v>21</v>
      </c>
      <c r="N136" s="1">
        <f>SUM(Table3[[#This Row],[Unit_Price]]-Table3[[#This Row],[Unit_Cost]])</f>
        <v>498.03999999999996</v>
      </c>
      <c r="O136" s="7"/>
      <c r="P136" s="7"/>
      <c r="Q136" s="7"/>
      <c r="S136"/>
    </row>
    <row r="137" spans="1:19" x14ac:dyDescent="0.3">
      <c r="A137" s="1">
        <v>1037</v>
      </c>
      <c r="B137" s="2">
        <v>44949</v>
      </c>
      <c r="C137" s="1" t="s">
        <v>14</v>
      </c>
      <c r="D137" s="1" t="s">
        <v>46</v>
      </c>
      <c r="E137" s="1">
        <v>9813.81</v>
      </c>
      <c r="F137" s="1">
        <v>40</v>
      </c>
      <c r="G137" s="1" t="s">
        <v>26</v>
      </c>
      <c r="H137" s="1">
        <v>2790.11</v>
      </c>
      <c r="I137" s="1">
        <v>3192.37</v>
      </c>
      <c r="J137" s="1" t="s">
        <v>17</v>
      </c>
      <c r="K137" s="1">
        <v>0.26</v>
      </c>
      <c r="L137" s="1" t="s">
        <v>25</v>
      </c>
      <c r="M137" s="1" t="s">
        <v>19</v>
      </c>
      <c r="N137" s="1">
        <f>SUM(Table3[[#This Row],[Unit_Price]]-Table3[[#This Row],[Unit_Cost]])</f>
        <v>402.25999999999976</v>
      </c>
      <c r="O137" s="7"/>
      <c r="P137" s="7"/>
      <c r="Q137" s="7"/>
      <c r="S137"/>
    </row>
    <row r="138" spans="1:19" x14ac:dyDescent="0.3">
      <c r="A138" s="1">
        <v>1099</v>
      </c>
      <c r="B138" s="2">
        <v>44989</v>
      </c>
      <c r="C138" s="1" t="s">
        <v>22</v>
      </c>
      <c r="D138" s="1" t="s">
        <v>47</v>
      </c>
      <c r="E138" s="1">
        <v>7952.11</v>
      </c>
      <c r="F138" s="1">
        <v>10</v>
      </c>
      <c r="G138" s="1" t="s">
        <v>16</v>
      </c>
      <c r="H138" s="1">
        <v>1531.2</v>
      </c>
      <c r="I138" s="1">
        <v>1955.56</v>
      </c>
      <c r="J138" s="1" t="s">
        <v>27</v>
      </c>
      <c r="K138" s="1">
        <v>0</v>
      </c>
      <c r="L138" s="1" t="s">
        <v>28</v>
      </c>
      <c r="M138" s="1" t="s">
        <v>19</v>
      </c>
      <c r="N138" s="1">
        <f>SUM(Table3[[#This Row],[Unit_Price]]-Table3[[#This Row],[Unit_Cost]])</f>
        <v>424.3599999999999</v>
      </c>
      <c r="O138" s="7"/>
      <c r="P138" s="7"/>
      <c r="Q138" s="7"/>
      <c r="S138"/>
    </row>
    <row r="139" spans="1:19" x14ac:dyDescent="0.3">
      <c r="A139" s="1">
        <v>1044</v>
      </c>
      <c r="B139" s="2">
        <v>45069</v>
      </c>
      <c r="C139" s="1" t="s">
        <v>14</v>
      </c>
      <c r="D139" s="1" t="s">
        <v>48</v>
      </c>
      <c r="E139" s="1">
        <v>8552.4699999999993</v>
      </c>
      <c r="F139" s="1">
        <v>19</v>
      </c>
      <c r="G139" s="1" t="s">
        <v>24</v>
      </c>
      <c r="H139" s="1">
        <v>2182.75</v>
      </c>
      <c r="I139" s="1">
        <v>2504.0299999999902</v>
      </c>
      <c r="J139" s="1" t="s">
        <v>27</v>
      </c>
      <c r="K139" s="1">
        <v>0.01</v>
      </c>
      <c r="L139" s="1" t="s">
        <v>25</v>
      </c>
      <c r="M139" s="1" t="s">
        <v>19</v>
      </c>
      <c r="N139" s="1">
        <f>SUM(Table3[[#This Row],[Unit_Price]]-Table3[[#This Row],[Unit_Cost]])</f>
        <v>321.2799999999902</v>
      </c>
      <c r="O139" s="7"/>
      <c r="P139" s="7"/>
      <c r="Q139" s="7"/>
      <c r="S139"/>
    </row>
    <row r="140" spans="1:19" x14ac:dyDescent="0.3">
      <c r="A140" s="1">
        <v>1086</v>
      </c>
      <c r="B140" s="2">
        <v>45079</v>
      </c>
      <c r="C140" s="1" t="s">
        <v>14</v>
      </c>
      <c r="D140" s="1" t="s">
        <v>49</v>
      </c>
      <c r="E140" s="1">
        <v>2495.5700000000002</v>
      </c>
      <c r="F140" s="1">
        <v>3</v>
      </c>
      <c r="G140" s="1" t="s">
        <v>31</v>
      </c>
      <c r="H140" s="1">
        <v>1595.35</v>
      </c>
      <c r="I140" s="1">
        <v>1625.70999999999</v>
      </c>
      <c r="J140" s="1" t="s">
        <v>27</v>
      </c>
      <c r="K140" s="1">
        <v>0.27</v>
      </c>
      <c r="L140" s="1" t="s">
        <v>18</v>
      </c>
      <c r="M140" s="1" t="s">
        <v>19</v>
      </c>
      <c r="N140" s="1">
        <f>SUM(Table3[[#This Row],[Unit_Price]]-Table3[[#This Row],[Unit_Cost]])</f>
        <v>30.359999999990123</v>
      </c>
      <c r="O140" s="7"/>
      <c r="P140" s="7"/>
      <c r="Q140" s="7"/>
      <c r="S140"/>
    </row>
    <row r="141" spans="1:19" x14ac:dyDescent="0.3">
      <c r="A141" s="1">
        <v>1091</v>
      </c>
      <c r="B141" s="2">
        <v>45071</v>
      </c>
      <c r="C141" s="1" t="s">
        <v>33</v>
      </c>
      <c r="D141" s="1" t="s">
        <v>50</v>
      </c>
      <c r="E141" s="1">
        <v>9610.2099999999991</v>
      </c>
      <c r="F141" s="1">
        <v>24</v>
      </c>
      <c r="G141" s="1" t="s">
        <v>26</v>
      </c>
      <c r="H141" s="1">
        <v>3639.3</v>
      </c>
      <c r="I141" s="1">
        <v>3750.63</v>
      </c>
      <c r="J141" s="1" t="s">
        <v>27</v>
      </c>
      <c r="K141" s="1">
        <v>0.23</v>
      </c>
      <c r="L141" s="1" t="s">
        <v>25</v>
      </c>
      <c r="M141" s="1" t="s">
        <v>21</v>
      </c>
      <c r="N141" s="1">
        <f>SUM(Table3[[#This Row],[Unit_Price]]-Table3[[#This Row],[Unit_Cost]])</f>
        <v>111.32999999999993</v>
      </c>
      <c r="O141" s="7"/>
      <c r="P141" s="7"/>
      <c r="Q141" s="7"/>
      <c r="S141"/>
    </row>
    <row r="142" spans="1:19" x14ac:dyDescent="0.3">
      <c r="A142" s="1">
        <v>1035</v>
      </c>
      <c r="B142" s="2">
        <v>45151</v>
      </c>
      <c r="C142" s="1" t="s">
        <v>33</v>
      </c>
      <c r="D142" s="1" t="s">
        <v>44</v>
      </c>
      <c r="E142" s="1">
        <v>2049.56</v>
      </c>
      <c r="F142" s="1">
        <v>5</v>
      </c>
      <c r="G142" s="1" t="s">
        <v>26</v>
      </c>
      <c r="H142" s="1">
        <v>3991.69</v>
      </c>
      <c r="I142" s="1">
        <v>4454.97</v>
      </c>
      <c r="J142" s="1" t="s">
        <v>27</v>
      </c>
      <c r="K142" s="1">
        <v>0.14000000000000001</v>
      </c>
      <c r="L142" s="1" t="s">
        <v>28</v>
      </c>
      <c r="M142" s="1" t="s">
        <v>21</v>
      </c>
      <c r="N142" s="1">
        <f>SUM(Table3[[#This Row],[Unit_Price]]-Table3[[#This Row],[Unit_Cost]])</f>
        <v>463.2800000000002</v>
      </c>
      <c r="O142" s="7"/>
      <c r="P142" s="7"/>
      <c r="Q142" s="7"/>
      <c r="S142"/>
    </row>
    <row r="143" spans="1:19" x14ac:dyDescent="0.3">
      <c r="A143" s="1">
        <v>1065</v>
      </c>
      <c r="B143" s="2">
        <v>45235</v>
      </c>
      <c r="C143" s="1" t="s">
        <v>33</v>
      </c>
      <c r="D143" s="1" t="s">
        <v>45</v>
      </c>
      <c r="E143" s="1">
        <v>9519.16</v>
      </c>
      <c r="F143" s="1">
        <v>3</v>
      </c>
      <c r="G143" s="1" t="s">
        <v>16</v>
      </c>
      <c r="H143" s="1">
        <v>4173.04</v>
      </c>
      <c r="I143" s="1">
        <v>4362.4399999999996</v>
      </c>
      <c r="J143" s="1" t="s">
        <v>27</v>
      </c>
      <c r="K143" s="1">
        <v>0.23</v>
      </c>
      <c r="L143" s="1" t="s">
        <v>25</v>
      </c>
      <c r="M143" s="1" t="s">
        <v>21</v>
      </c>
      <c r="N143" s="1">
        <f>SUM(Table3[[#This Row],[Unit_Price]]-Table3[[#This Row],[Unit_Cost]])</f>
        <v>189.39999999999964</v>
      </c>
      <c r="O143" s="7"/>
      <c r="P143" s="7"/>
      <c r="Q143" s="7"/>
      <c r="S143"/>
    </row>
    <row r="144" spans="1:19" x14ac:dyDescent="0.3">
      <c r="A144" s="1">
        <v>1099</v>
      </c>
      <c r="B144" s="2">
        <v>45030</v>
      </c>
      <c r="C144" s="1" t="s">
        <v>33</v>
      </c>
      <c r="D144" s="1" t="s">
        <v>46</v>
      </c>
      <c r="E144" s="1">
        <v>9948.7099999999991</v>
      </c>
      <c r="F144" s="1">
        <v>27</v>
      </c>
      <c r="G144" s="1" t="s">
        <v>24</v>
      </c>
      <c r="H144" s="1">
        <v>4929.55</v>
      </c>
      <c r="I144" s="1">
        <v>4990.33</v>
      </c>
      <c r="J144" s="1" t="s">
        <v>17</v>
      </c>
      <c r="K144" s="1">
        <v>0.28999999999999998</v>
      </c>
      <c r="L144" s="1" t="s">
        <v>28</v>
      </c>
      <c r="M144" s="1" t="s">
        <v>19</v>
      </c>
      <c r="N144" s="1">
        <f>SUM(Table3[[#This Row],[Unit_Price]]-Table3[[#This Row],[Unit_Cost]])</f>
        <v>60.779999999999745</v>
      </c>
      <c r="O144" s="7"/>
      <c r="P144" s="7"/>
      <c r="Q144" s="7"/>
      <c r="S144"/>
    </row>
    <row r="145" spans="1:19" x14ac:dyDescent="0.3">
      <c r="A145" s="1">
        <v>1047</v>
      </c>
      <c r="B145" s="2">
        <v>45030</v>
      </c>
      <c r="C145" s="1" t="s">
        <v>32</v>
      </c>
      <c r="D145" s="1" t="s">
        <v>47</v>
      </c>
      <c r="E145" s="1">
        <v>7146.06</v>
      </c>
      <c r="F145" s="1">
        <v>16</v>
      </c>
      <c r="G145" s="1" t="s">
        <v>26</v>
      </c>
      <c r="H145" s="1">
        <v>3966.86</v>
      </c>
      <c r="I145" s="1">
        <v>4321.04</v>
      </c>
      <c r="J145" s="1" t="s">
        <v>17</v>
      </c>
      <c r="K145" s="1">
        <v>0.23</v>
      </c>
      <c r="L145" s="1" t="s">
        <v>28</v>
      </c>
      <c r="M145" s="1" t="s">
        <v>21</v>
      </c>
      <c r="N145" s="1">
        <f>SUM(Table3[[#This Row],[Unit_Price]]-Table3[[#This Row],[Unit_Cost]])</f>
        <v>354.17999999999984</v>
      </c>
      <c r="O145" s="7"/>
      <c r="P145" s="7"/>
      <c r="Q145" s="7"/>
      <c r="S145"/>
    </row>
    <row r="146" spans="1:19" x14ac:dyDescent="0.3">
      <c r="A146" s="1">
        <v>1078</v>
      </c>
      <c r="B146" s="2">
        <v>44965</v>
      </c>
      <c r="C146" s="1" t="s">
        <v>33</v>
      </c>
      <c r="D146" s="1" t="s">
        <v>48</v>
      </c>
      <c r="E146" s="1">
        <v>9813.32</v>
      </c>
      <c r="F146" s="1">
        <v>49</v>
      </c>
      <c r="G146" s="1" t="s">
        <v>16</v>
      </c>
      <c r="H146" s="1">
        <v>3026.85</v>
      </c>
      <c r="I146" s="1">
        <v>3183.58</v>
      </c>
      <c r="J146" s="1" t="s">
        <v>17</v>
      </c>
      <c r="K146" s="1">
        <v>0.25</v>
      </c>
      <c r="L146" s="1" t="s">
        <v>18</v>
      </c>
      <c r="M146" s="1" t="s">
        <v>21</v>
      </c>
      <c r="N146" s="1">
        <f>SUM(Table3[[#This Row],[Unit_Price]]-Table3[[#This Row],[Unit_Cost]])</f>
        <v>156.73000000000002</v>
      </c>
      <c r="O146" s="7"/>
      <c r="P146" s="7"/>
      <c r="Q146" s="7"/>
      <c r="S146"/>
    </row>
    <row r="147" spans="1:19" x14ac:dyDescent="0.3">
      <c r="A147" s="1">
        <v>1003</v>
      </c>
      <c r="B147" s="2">
        <v>45124</v>
      </c>
      <c r="C147" s="1" t="s">
        <v>32</v>
      </c>
      <c r="D147" s="1" t="s">
        <v>49</v>
      </c>
      <c r="E147" s="1">
        <v>5738.44</v>
      </c>
      <c r="F147" s="1">
        <v>15</v>
      </c>
      <c r="G147" s="1" t="s">
        <v>31</v>
      </c>
      <c r="H147" s="1">
        <v>1729.14</v>
      </c>
      <c r="I147" s="1">
        <v>1870.88</v>
      </c>
      <c r="J147" s="1" t="s">
        <v>17</v>
      </c>
      <c r="K147" s="1">
        <v>0.23</v>
      </c>
      <c r="L147" s="1" t="s">
        <v>18</v>
      </c>
      <c r="M147" s="1" t="s">
        <v>19</v>
      </c>
      <c r="N147" s="1">
        <f>SUM(Table3[[#This Row],[Unit_Price]]-Table3[[#This Row],[Unit_Cost]])</f>
        <v>141.74</v>
      </c>
      <c r="O147" s="7"/>
      <c r="P147" s="7"/>
      <c r="Q147" s="7"/>
      <c r="S147"/>
    </row>
    <row r="148" spans="1:19" x14ac:dyDescent="0.3">
      <c r="A148" s="1">
        <v>1001</v>
      </c>
      <c r="B148" s="2">
        <v>45060</v>
      </c>
      <c r="C148" s="1" t="s">
        <v>32</v>
      </c>
      <c r="D148" s="1" t="s">
        <v>50</v>
      </c>
      <c r="E148" s="1">
        <v>2669.46</v>
      </c>
      <c r="F148" s="1">
        <v>35</v>
      </c>
      <c r="G148" s="1" t="s">
        <v>31</v>
      </c>
      <c r="H148" s="1">
        <v>2745.75</v>
      </c>
      <c r="I148" s="1">
        <v>3244.76</v>
      </c>
      <c r="J148" s="1" t="s">
        <v>27</v>
      </c>
      <c r="K148" s="1">
        <v>0.05</v>
      </c>
      <c r="L148" s="1" t="s">
        <v>25</v>
      </c>
      <c r="M148" s="1" t="s">
        <v>19</v>
      </c>
      <c r="N148" s="1">
        <f>SUM(Table3[[#This Row],[Unit_Price]]-Table3[[#This Row],[Unit_Cost]])</f>
        <v>499.01000000000022</v>
      </c>
      <c r="O148" s="7"/>
      <c r="P148" s="7"/>
      <c r="Q148" s="7"/>
      <c r="S148"/>
    </row>
    <row r="149" spans="1:19" x14ac:dyDescent="0.3">
      <c r="A149" s="1">
        <v>1005</v>
      </c>
      <c r="B149" s="2">
        <v>44993</v>
      </c>
      <c r="C149" s="1" t="s">
        <v>33</v>
      </c>
      <c r="D149" s="1" t="s">
        <v>44</v>
      </c>
      <c r="E149" s="1">
        <v>4426.26</v>
      </c>
      <c r="F149" s="1">
        <v>12</v>
      </c>
      <c r="G149" s="1" t="s">
        <v>26</v>
      </c>
      <c r="H149" s="1">
        <v>253.29</v>
      </c>
      <c r="I149" s="1">
        <v>683.78</v>
      </c>
      <c r="J149" s="1" t="s">
        <v>27</v>
      </c>
      <c r="K149" s="1">
        <v>0.25</v>
      </c>
      <c r="L149" s="1" t="s">
        <v>28</v>
      </c>
      <c r="M149" s="1" t="s">
        <v>19</v>
      </c>
      <c r="N149" s="1">
        <f>SUM(Table3[[#This Row],[Unit_Price]]-Table3[[#This Row],[Unit_Cost]])</f>
        <v>430.49</v>
      </c>
      <c r="O149" s="7"/>
      <c r="P149" s="7"/>
      <c r="Q149" s="7"/>
      <c r="S149"/>
    </row>
    <row r="150" spans="1:19" x14ac:dyDescent="0.3">
      <c r="A150" s="1">
        <v>1090</v>
      </c>
      <c r="B150" s="2">
        <v>45105</v>
      </c>
      <c r="C150" s="1" t="s">
        <v>29</v>
      </c>
      <c r="D150" s="1" t="s">
        <v>45</v>
      </c>
      <c r="E150" s="1">
        <v>5976.25</v>
      </c>
      <c r="F150" s="1">
        <v>41</v>
      </c>
      <c r="G150" s="1" t="s">
        <v>26</v>
      </c>
      <c r="H150" s="1">
        <v>3736.88</v>
      </c>
      <c r="I150" s="1">
        <v>3946.77</v>
      </c>
      <c r="J150" s="1" t="s">
        <v>17</v>
      </c>
      <c r="K150" s="1">
        <v>0.06</v>
      </c>
      <c r="L150" s="1" t="s">
        <v>28</v>
      </c>
      <c r="M150" s="1" t="s">
        <v>19</v>
      </c>
      <c r="N150" s="1">
        <f>SUM(Table3[[#This Row],[Unit_Price]]-Table3[[#This Row],[Unit_Cost]])</f>
        <v>209.88999999999987</v>
      </c>
      <c r="O150" s="7"/>
      <c r="P150" s="7"/>
      <c r="Q150" s="7"/>
      <c r="S150"/>
    </row>
    <row r="151" spans="1:19" x14ac:dyDescent="0.3">
      <c r="A151" s="1">
        <v>1014</v>
      </c>
      <c r="B151" s="2">
        <v>44968</v>
      </c>
      <c r="C151" s="1" t="s">
        <v>22</v>
      </c>
      <c r="D151" s="1" t="s">
        <v>46</v>
      </c>
      <c r="E151" s="1">
        <v>823.51</v>
      </c>
      <c r="F151" s="1">
        <v>44</v>
      </c>
      <c r="G151" s="1" t="s">
        <v>24</v>
      </c>
      <c r="H151" s="1">
        <v>2257.48</v>
      </c>
      <c r="I151" s="1">
        <v>2747.81</v>
      </c>
      <c r="J151" s="1" t="s">
        <v>17</v>
      </c>
      <c r="K151" s="1">
        <v>0.27</v>
      </c>
      <c r="L151" s="1" t="s">
        <v>18</v>
      </c>
      <c r="M151" s="1" t="s">
        <v>19</v>
      </c>
      <c r="N151" s="1">
        <f>SUM(Table3[[#This Row],[Unit_Price]]-Table3[[#This Row],[Unit_Cost]])</f>
        <v>490.32999999999993</v>
      </c>
      <c r="O151" s="7"/>
      <c r="P151" s="7"/>
      <c r="Q151" s="7"/>
      <c r="S151"/>
    </row>
    <row r="152" spans="1:19" x14ac:dyDescent="0.3">
      <c r="A152" s="1">
        <v>1027</v>
      </c>
      <c r="B152" s="2">
        <v>44941</v>
      </c>
      <c r="C152" s="1" t="s">
        <v>14</v>
      </c>
      <c r="D152" s="1" t="s">
        <v>47</v>
      </c>
      <c r="E152" s="1">
        <v>6261.2</v>
      </c>
      <c r="F152" s="1">
        <v>26</v>
      </c>
      <c r="G152" s="1" t="s">
        <v>24</v>
      </c>
      <c r="H152" s="1">
        <v>149.11000000000001</v>
      </c>
      <c r="I152" s="1">
        <v>477.67</v>
      </c>
      <c r="J152" s="1" t="s">
        <v>17</v>
      </c>
      <c r="K152" s="1">
        <v>0.14000000000000001</v>
      </c>
      <c r="L152" s="1" t="s">
        <v>18</v>
      </c>
      <c r="M152" s="1" t="s">
        <v>21</v>
      </c>
      <c r="N152" s="1">
        <f>SUM(Table3[[#This Row],[Unit_Price]]-Table3[[#This Row],[Unit_Cost]])</f>
        <v>328.56</v>
      </c>
      <c r="O152" s="7"/>
      <c r="P152" s="7"/>
      <c r="Q152" s="7"/>
      <c r="S152"/>
    </row>
    <row r="153" spans="1:19" x14ac:dyDescent="0.3">
      <c r="A153" s="1">
        <v>1009</v>
      </c>
      <c r="B153" s="2">
        <v>45037</v>
      </c>
      <c r="C153" s="1" t="s">
        <v>32</v>
      </c>
      <c r="D153" s="1" t="s">
        <v>48</v>
      </c>
      <c r="E153" s="1">
        <v>9813.66</v>
      </c>
      <c r="F153" s="1">
        <v>47</v>
      </c>
      <c r="G153" s="1" t="s">
        <v>26</v>
      </c>
      <c r="H153" s="1">
        <v>359.41</v>
      </c>
      <c r="I153" s="1">
        <v>733</v>
      </c>
      <c r="J153" s="1" t="s">
        <v>17</v>
      </c>
      <c r="K153" s="1">
        <v>0.2</v>
      </c>
      <c r="L153" s="1" t="s">
        <v>25</v>
      </c>
      <c r="M153" s="1" t="s">
        <v>21</v>
      </c>
      <c r="N153" s="1">
        <f>SUM(Table3[[#This Row],[Unit_Price]]-Table3[[#This Row],[Unit_Cost]])</f>
        <v>373.59</v>
      </c>
      <c r="O153" s="7"/>
      <c r="P153" s="7"/>
      <c r="Q153" s="7"/>
      <c r="S153"/>
    </row>
    <row r="154" spans="1:19" x14ac:dyDescent="0.3">
      <c r="A154" s="1">
        <v>1079</v>
      </c>
      <c r="B154" s="2">
        <v>45083</v>
      </c>
      <c r="C154" s="1" t="s">
        <v>22</v>
      </c>
      <c r="D154" s="1" t="s">
        <v>49</v>
      </c>
      <c r="E154" s="1">
        <v>1982.07</v>
      </c>
      <c r="F154" s="1">
        <v>34</v>
      </c>
      <c r="G154" s="1" t="s">
        <v>16</v>
      </c>
      <c r="H154" s="1">
        <v>1967.96</v>
      </c>
      <c r="I154" s="1">
        <v>1993.4</v>
      </c>
      <c r="J154" s="1" t="s">
        <v>17</v>
      </c>
      <c r="K154" s="1">
        <v>0.15</v>
      </c>
      <c r="L154" s="1" t="s">
        <v>28</v>
      </c>
      <c r="M154" s="1" t="s">
        <v>19</v>
      </c>
      <c r="N154" s="1">
        <f>SUM(Table3[[#This Row],[Unit_Price]]-Table3[[#This Row],[Unit_Cost]])</f>
        <v>25.440000000000055</v>
      </c>
      <c r="O154" s="7"/>
      <c r="P154" s="7"/>
      <c r="Q154" s="7"/>
      <c r="S154"/>
    </row>
    <row r="155" spans="1:19" x14ac:dyDescent="0.3">
      <c r="A155" s="1">
        <v>1015</v>
      </c>
      <c r="B155" s="2">
        <v>45215</v>
      </c>
      <c r="C155" s="1" t="s">
        <v>29</v>
      </c>
      <c r="D155" s="1" t="s">
        <v>50</v>
      </c>
      <c r="E155" s="1">
        <v>7946.69</v>
      </c>
      <c r="F155" s="1">
        <v>23</v>
      </c>
      <c r="G155" s="1" t="s">
        <v>24</v>
      </c>
      <c r="H155" s="1">
        <v>2937.94</v>
      </c>
      <c r="I155" s="1">
        <v>3007.53</v>
      </c>
      <c r="J155" s="1" t="s">
        <v>17</v>
      </c>
      <c r="K155" s="1">
        <v>0.03</v>
      </c>
      <c r="L155" s="1" t="s">
        <v>18</v>
      </c>
      <c r="M155" s="1" t="s">
        <v>21</v>
      </c>
      <c r="N155" s="1">
        <f>SUM(Table3[[#This Row],[Unit_Price]]-Table3[[#This Row],[Unit_Cost]])</f>
        <v>69.590000000000146</v>
      </c>
      <c r="O155" s="7"/>
      <c r="P155" s="7"/>
      <c r="Q155" s="7"/>
      <c r="S155"/>
    </row>
    <row r="156" spans="1:19" x14ac:dyDescent="0.3">
      <c r="A156" s="1">
        <v>1090</v>
      </c>
      <c r="B156" s="2">
        <v>45157</v>
      </c>
      <c r="C156" s="1" t="s">
        <v>14</v>
      </c>
      <c r="D156" s="1" t="s">
        <v>44</v>
      </c>
      <c r="E156" s="1">
        <v>9088.2000000000007</v>
      </c>
      <c r="F156" s="1">
        <v>31</v>
      </c>
      <c r="G156" s="1" t="s">
        <v>26</v>
      </c>
      <c r="H156" s="1">
        <v>2347.81</v>
      </c>
      <c r="I156" s="1">
        <v>2668.02</v>
      </c>
      <c r="J156" s="1" t="s">
        <v>17</v>
      </c>
      <c r="K156" s="1">
        <v>0.09</v>
      </c>
      <c r="L156" s="1" t="s">
        <v>25</v>
      </c>
      <c r="M156" s="1" t="s">
        <v>21</v>
      </c>
      <c r="N156" s="1">
        <f>SUM(Table3[[#This Row],[Unit_Price]]-Table3[[#This Row],[Unit_Cost]])</f>
        <v>320.21000000000004</v>
      </c>
      <c r="O156" s="7"/>
      <c r="P156" s="7"/>
      <c r="Q156" s="7"/>
      <c r="S156"/>
    </row>
    <row r="157" spans="1:19" x14ac:dyDescent="0.3">
      <c r="A157" s="1">
        <v>1042</v>
      </c>
      <c r="B157" s="2">
        <v>45083</v>
      </c>
      <c r="C157" s="1" t="s">
        <v>14</v>
      </c>
      <c r="D157" s="1" t="s">
        <v>45</v>
      </c>
      <c r="E157" s="1">
        <v>9442.65</v>
      </c>
      <c r="F157" s="1">
        <v>20</v>
      </c>
      <c r="G157" s="1" t="s">
        <v>24</v>
      </c>
      <c r="H157" s="1">
        <v>3115.06</v>
      </c>
      <c r="I157" s="1">
        <v>3565.58</v>
      </c>
      <c r="J157" s="1" t="s">
        <v>17</v>
      </c>
      <c r="K157" s="1">
        <v>0.3</v>
      </c>
      <c r="L157" s="1" t="s">
        <v>28</v>
      </c>
      <c r="M157" s="1" t="s">
        <v>21</v>
      </c>
      <c r="N157" s="1">
        <f>SUM(Table3[[#This Row],[Unit_Price]]-Table3[[#This Row],[Unit_Cost]])</f>
        <v>450.52</v>
      </c>
      <c r="O157" s="7"/>
      <c r="P157" s="7"/>
      <c r="Q157" s="7"/>
      <c r="S157"/>
    </row>
    <row r="158" spans="1:19" x14ac:dyDescent="0.3">
      <c r="A158" s="1">
        <v>1077</v>
      </c>
      <c r="B158" s="2">
        <v>44964</v>
      </c>
      <c r="C158" s="1" t="s">
        <v>32</v>
      </c>
      <c r="D158" s="1" t="s">
        <v>46</v>
      </c>
      <c r="E158" s="1">
        <v>9605.34</v>
      </c>
      <c r="F158" s="1">
        <v>12</v>
      </c>
      <c r="G158" s="1" t="s">
        <v>26</v>
      </c>
      <c r="H158" s="1">
        <v>2427.46</v>
      </c>
      <c r="I158" s="1">
        <v>2743.09</v>
      </c>
      <c r="J158" s="1" t="s">
        <v>27</v>
      </c>
      <c r="K158" s="1">
        <v>0.28999999999999998</v>
      </c>
      <c r="L158" s="1" t="s">
        <v>28</v>
      </c>
      <c r="M158" s="1" t="s">
        <v>21</v>
      </c>
      <c r="N158" s="1">
        <f>SUM(Table3[[#This Row],[Unit_Price]]-Table3[[#This Row],[Unit_Cost]])</f>
        <v>315.63000000000011</v>
      </c>
      <c r="O158" s="7"/>
      <c r="P158" s="7"/>
      <c r="Q158" s="7"/>
      <c r="S158"/>
    </row>
    <row r="159" spans="1:19" x14ac:dyDescent="0.3">
      <c r="A159" s="1">
        <v>1051</v>
      </c>
      <c r="B159" s="2">
        <v>45023</v>
      </c>
      <c r="C159" s="1" t="s">
        <v>33</v>
      </c>
      <c r="D159" s="1" t="s">
        <v>47</v>
      </c>
      <c r="E159" s="1">
        <v>5262.45</v>
      </c>
      <c r="F159" s="1">
        <v>23</v>
      </c>
      <c r="G159" s="1" t="s">
        <v>31</v>
      </c>
      <c r="H159" s="1">
        <v>3325.43</v>
      </c>
      <c r="I159" s="1">
        <v>3401.1</v>
      </c>
      <c r="J159" s="1" t="s">
        <v>27</v>
      </c>
      <c r="K159" s="1">
        <v>0.1</v>
      </c>
      <c r="L159" s="1" t="s">
        <v>18</v>
      </c>
      <c r="M159" s="1" t="s">
        <v>19</v>
      </c>
      <c r="N159" s="1">
        <f>SUM(Table3[[#This Row],[Unit_Price]]-Table3[[#This Row],[Unit_Cost]])</f>
        <v>75.670000000000073</v>
      </c>
      <c r="O159" s="7"/>
      <c r="P159" s="7"/>
      <c r="Q159" s="7"/>
      <c r="S159"/>
    </row>
    <row r="160" spans="1:19" x14ac:dyDescent="0.3">
      <c r="A160" s="1">
        <v>1063</v>
      </c>
      <c r="B160" s="2">
        <v>45215</v>
      </c>
      <c r="C160" s="1" t="s">
        <v>29</v>
      </c>
      <c r="D160" s="1" t="s">
        <v>48</v>
      </c>
      <c r="E160" s="1">
        <v>9775.35</v>
      </c>
      <c r="F160" s="1">
        <v>4</v>
      </c>
      <c r="G160" s="1" t="s">
        <v>26</v>
      </c>
      <c r="H160" s="1">
        <v>1134.67</v>
      </c>
      <c r="I160" s="1">
        <v>1201.3900000000001</v>
      </c>
      <c r="J160" s="1" t="s">
        <v>27</v>
      </c>
      <c r="K160" s="1">
        <v>0.3</v>
      </c>
      <c r="L160" s="1" t="s">
        <v>25</v>
      </c>
      <c r="M160" s="1" t="s">
        <v>21</v>
      </c>
      <c r="N160" s="1">
        <f>SUM(Table3[[#This Row],[Unit_Price]]-Table3[[#This Row],[Unit_Cost]])</f>
        <v>66.720000000000027</v>
      </c>
      <c r="O160" s="7"/>
      <c r="P160" s="7"/>
      <c r="Q160" s="7"/>
      <c r="S160"/>
    </row>
    <row r="161" spans="1:19" x14ac:dyDescent="0.3">
      <c r="A161" s="1">
        <v>1096</v>
      </c>
      <c r="B161" s="2">
        <v>45180</v>
      </c>
      <c r="C161" s="1" t="s">
        <v>32</v>
      </c>
      <c r="D161" s="1" t="s">
        <v>49</v>
      </c>
      <c r="E161" s="1">
        <v>7597.37</v>
      </c>
      <c r="F161" s="1">
        <v>23</v>
      </c>
      <c r="G161" s="1" t="s">
        <v>31</v>
      </c>
      <c r="H161" s="1">
        <v>608.57000000000005</v>
      </c>
      <c r="I161" s="1">
        <v>1032.22</v>
      </c>
      <c r="J161" s="1" t="s">
        <v>27</v>
      </c>
      <c r="K161" s="1">
        <v>0.25</v>
      </c>
      <c r="L161" s="1" t="s">
        <v>18</v>
      </c>
      <c r="M161" s="1" t="s">
        <v>21</v>
      </c>
      <c r="N161" s="1">
        <f>SUM(Table3[[#This Row],[Unit_Price]]-Table3[[#This Row],[Unit_Cost]])</f>
        <v>423.65</v>
      </c>
      <c r="O161" s="7"/>
      <c r="P161" s="7"/>
      <c r="Q161" s="7"/>
      <c r="S161"/>
    </row>
    <row r="162" spans="1:19" x14ac:dyDescent="0.3">
      <c r="A162" s="1">
        <v>1052</v>
      </c>
      <c r="B162" s="2">
        <v>45122</v>
      </c>
      <c r="C162" s="1" t="s">
        <v>29</v>
      </c>
      <c r="D162" s="1" t="s">
        <v>50</v>
      </c>
      <c r="E162" s="1">
        <v>1700.55</v>
      </c>
      <c r="F162" s="1">
        <v>48</v>
      </c>
      <c r="G162" s="1" t="s">
        <v>24</v>
      </c>
      <c r="H162" s="1">
        <v>3002.35</v>
      </c>
      <c r="I162" s="1">
        <v>3080.61</v>
      </c>
      <c r="J162" s="1" t="s">
        <v>17</v>
      </c>
      <c r="K162" s="1">
        <v>0.18</v>
      </c>
      <c r="L162" s="1" t="s">
        <v>25</v>
      </c>
      <c r="M162" s="1" t="s">
        <v>21</v>
      </c>
      <c r="N162" s="1">
        <f>SUM(Table3[[#This Row],[Unit_Price]]-Table3[[#This Row],[Unit_Cost]])</f>
        <v>78.260000000000218</v>
      </c>
      <c r="O162" s="7"/>
      <c r="P162" s="7"/>
      <c r="Q162" s="7"/>
      <c r="S162"/>
    </row>
    <row r="163" spans="1:19" x14ac:dyDescent="0.3">
      <c r="A163" s="1">
        <v>1096</v>
      </c>
      <c r="B163" s="2">
        <v>45012</v>
      </c>
      <c r="C163" s="1" t="s">
        <v>33</v>
      </c>
      <c r="D163" s="1" t="s">
        <v>44</v>
      </c>
      <c r="E163" s="1">
        <v>4821.3100000000004</v>
      </c>
      <c r="F163" s="1">
        <v>48</v>
      </c>
      <c r="G163" s="1" t="s">
        <v>26</v>
      </c>
      <c r="H163" s="1">
        <v>2449.21</v>
      </c>
      <c r="I163" s="1">
        <v>2714.12</v>
      </c>
      <c r="J163" s="1" t="s">
        <v>27</v>
      </c>
      <c r="K163" s="1">
        <v>0.01</v>
      </c>
      <c r="L163" s="1" t="s">
        <v>28</v>
      </c>
      <c r="M163" s="1" t="s">
        <v>19</v>
      </c>
      <c r="N163" s="1">
        <f>SUM(Table3[[#This Row],[Unit_Price]]-Table3[[#This Row],[Unit_Cost]])</f>
        <v>264.90999999999985</v>
      </c>
      <c r="O163" s="7"/>
      <c r="P163" s="7"/>
      <c r="Q163" s="7"/>
      <c r="S163"/>
    </row>
    <row r="164" spans="1:19" x14ac:dyDescent="0.3">
      <c r="A164" s="1">
        <v>1004</v>
      </c>
      <c r="B164" s="2">
        <v>45248</v>
      </c>
      <c r="C164" s="1" t="s">
        <v>33</v>
      </c>
      <c r="D164" s="1" t="s">
        <v>45</v>
      </c>
      <c r="E164" s="1">
        <v>7211.48</v>
      </c>
      <c r="F164" s="1">
        <v>1</v>
      </c>
      <c r="G164" s="1" t="s">
        <v>24</v>
      </c>
      <c r="H164" s="1">
        <v>182.99</v>
      </c>
      <c r="I164" s="1">
        <v>211.18</v>
      </c>
      <c r="J164" s="1" t="s">
        <v>17</v>
      </c>
      <c r="K164" s="1">
        <v>0.27</v>
      </c>
      <c r="L164" s="1" t="s">
        <v>25</v>
      </c>
      <c r="M164" s="1" t="s">
        <v>21</v>
      </c>
      <c r="N164" s="1">
        <f>SUM(Table3[[#This Row],[Unit_Price]]-Table3[[#This Row],[Unit_Cost]])</f>
        <v>28.189999999999998</v>
      </c>
      <c r="O164" s="7"/>
      <c r="P164" s="7"/>
      <c r="Q164" s="7"/>
      <c r="S164"/>
    </row>
    <row r="165" spans="1:19" x14ac:dyDescent="0.3">
      <c r="A165" s="1">
        <v>1094</v>
      </c>
      <c r="B165" s="2">
        <v>44936</v>
      </c>
      <c r="C165" s="1" t="s">
        <v>32</v>
      </c>
      <c r="D165" s="1" t="s">
        <v>46</v>
      </c>
      <c r="E165" s="1">
        <v>2548.67</v>
      </c>
      <c r="F165" s="1">
        <v>25</v>
      </c>
      <c r="G165" s="1" t="s">
        <v>31</v>
      </c>
      <c r="H165" s="1">
        <v>1933.39</v>
      </c>
      <c r="I165" s="1">
        <v>1982.92</v>
      </c>
      <c r="J165" s="1" t="s">
        <v>27</v>
      </c>
      <c r="K165" s="1">
        <v>0.17</v>
      </c>
      <c r="L165" s="1" t="s">
        <v>25</v>
      </c>
      <c r="M165" s="1" t="s">
        <v>19</v>
      </c>
      <c r="N165" s="1">
        <f>SUM(Table3[[#This Row],[Unit_Price]]-Table3[[#This Row],[Unit_Cost]])</f>
        <v>49.529999999999973</v>
      </c>
      <c r="O165" s="7"/>
      <c r="P165" s="7"/>
      <c r="Q165" s="7"/>
      <c r="S165"/>
    </row>
    <row r="166" spans="1:19" x14ac:dyDescent="0.3">
      <c r="A166" s="1">
        <v>1023</v>
      </c>
      <c r="B166" s="2">
        <v>44931</v>
      </c>
      <c r="C166" s="1" t="s">
        <v>33</v>
      </c>
      <c r="D166" s="1" t="s">
        <v>47</v>
      </c>
      <c r="E166" s="1">
        <v>6442.09</v>
      </c>
      <c r="F166" s="1">
        <v>2</v>
      </c>
      <c r="G166" s="1" t="s">
        <v>26</v>
      </c>
      <c r="H166" s="1">
        <v>575.32000000000005</v>
      </c>
      <c r="I166" s="1">
        <v>914.77</v>
      </c>
      <c r="J166" s="1" t="s">
        <v>17</v>
      </c>
      <c r="K166" s="1">
        <v>0.26</v>
      </c>
      <c r="L166" s="1" t="s">
        <v>25</v>
      </c>
      <c r="M166" s="1" t="s">
        <v>19</v>
      </c>
      <c r="N166" s="1">
        <f>SUM(Table3[[#This Row],[Unit_Price]]-Table3[[#This Row],[Unit_Cost]])</f>
        <v>339.44999999999993</v>
      </c>
      <c r="O166" s="7"/>
      <c r="P166" s="7"/>
      <c r="Q166" s="7"/>
      <c r="S166"/>
    </row>
    <row r="167" spans="1:19" x14ac:dyDescent="0.3">
      <c r="A167" s="1">
        <v>1015</v>
      </c>
      <c r="B167" s="2">
        <v>45049</v>
      </c>
      <c r="C167" s="1" t="s">
        <v>22</v>
      </c>
      <c r="D167" s="1" t="s">
        <v>48</v>
      </c>
      <c r="E167" s="1">
        <v>6699.34</v>
      </c>
      <c r="F167" s="1">
        <v>30</v>
      </c>
      <c r="G167" s="1" t="s">
        <v>24</v>
      </c>
      <c r="H167" s="1">
        <v>2680.22</v>
      </c>
      <c r="I167" s="1">
        <v>3027.9199999999901</v>
      </c>
      <c r="J167" s="1" t="s">
        <v>17</v>
      </c>
      <c r="K167" s="1">
        <v>0.25</v>
      </c>
      <c r="L167" s="1" t="s">
        <v>25</v>
      </c>
      <c r="M167" s="1" t="s">
        <v>19</v>
      </c>
      <c r="N167" s="1">
        <f>SUM(Table3[[#This Row],[Unit_Price]]-Table3[[#This Row],[Unit_Cost]])</f>
        <v>347.69999999999027</v>
      </c>
      <c r="O167" s="7"/>
      <c r="P167" s="7"/>
      <c r="Q167" s="7"/>
      <c r="S167"/>
    </row>
    <row r="168" spans="1:19" x14ac:dyDescent="0.3">
      <c r="A168" s="1">
        <v>1043</v>
      </c>
      <c r="B168" s="2">
        <v>45256</v>
      </c>
      <c r="C168" s="1" t="s">
        <v>14</v>
      </c>
      <c r="D168" s="1" t="s">
        <v>49</v>
      </c>
      <c r="E168" s="1">
        <v>1710.73</v>
      </c>
      <c r="F168" s="1">
        <v>3</v>
      </c>
      <c r="G168" s="1" t="s">
        <v>31</v>
      </c>
      <c r="H168" s="1">
        <v>2009.1</v>
      </c>
      <c r="I168" s="1">
        <v>2186.42</v>
      </c>
      <c r="J168" s="1" t="s">
        <v>27</v>
      </c>
      <c r="K168" s="1">
        <v>0.25</v>
      </c>
      <c r="L168" s="1" t="s">
        <v>25</v>
      </c>
      <c r="M168" s="1" t="s">
        <v>19</v>
      </c>
      <c r="N168" s="1">
        <f>SUM(Table3[[#This Row],[Unit_Price]]-Table3[[#This Row],[Unit_Cost]])</f>
        <v>177.32000000000016</v>
      </c>
      <c r="O168" s="7"/>
      <c r="P168" s="7"/>
      <c r="Q168" s="7"/>
      <c r="S168"/>
    </row>
    <row r="169" spans="1:19" x14ac:dyDescent="0.3">
      <c r="A169" s="1">
        <v>1029</v>
      </c>
      <c r="B169" s="2">
        <v>45279</v>
      </c>
      <c r="C169" s="1" t="s">
        <v>32</v>
      </c>
      <c r="D169" s="1" t="s">
        <v>50</v>
      </c>
      <c r="E169" s="1">
        <v>5694.34</v>
      </c>
      <c r="F169" s="1">
        <v>21</v>
      </c>
      <c r="G169" s="1" t="s">
        <v>24</v>
      </c>
      <c r="H169" s="1">
        <v>3085.1</v>
      </c>
      <c r="I169" s="1">
        <v>3200.75</v>
      </c>
      <c r="J169" s="1" t="s">
        <v>27</v>
      </c>
      <c r="K169" s="1">
        <v>0.21</v>
      </c>
      <c r="L169" s="1" t="s">
        <v>18</v>
      </c>
      <c r="M169" s="1" t="s">
        <v>21</v>
      </c>
      <c r="N169" s="1">
        <f>SUM(Table3[[#This Row],[Unit_Price]]-Table3[[#This Row],[Unit_Cost]])</f>
        <v>115.65000000000009</v>
      </c>
      <c r="O169" s="7"/>
      <c r="P169" s="7"/>
      <c r="Q169" s="7"/>
      <c r="S169"/>
    </row>
    <row r="170" spans="1:19" x14ac:dyDescent="0.3">
      <c r="A170" s="1">
        <v>1036</v>
      </c>
      <c r="B170" s="2">
        <v>45044</v>
      </c>
      <c r="C170" s="1" t="s">
        <v>29</v>
      </c>
      <c r="D170" s="1" t="s">
        <v>44</v>
      </c>
      <c r="E170" s="1">
        <v>7739.11</v>
      </c>
      <c r="F170" s="1">
        <v>25</v>
      </c>
      <c r="G170" s="1" t="s">
        <v>16</v>
      </c>
      <c r="H170" s="1">
        <v>4037.73</v>
      </c>
      <c r="I170" s="1">
        <v>4446.45</v>
      </c>
      <c r="J170" s="1" t="s">
        <v>17</v>
      </c>
      <c r="K170" s="1">
        <v>0.09</v>
      </c>
      <c r="L170" s="1" t="s">
        <v>25</v>
      </c>
      <c r="M170" s="1" t="s">
        <v>19</v>
      </c>
      <c r="N170" s="1">
        <f>SUM(Table3[[#This Row],[Unit_Price]]-Table3[[#This Row],[Unit_Cost]])</f>
        <v>408.7199999999998</v>
      </c>
      <c r="O170" s="7"/>
      <c r="P170" s="7"/>
      <c r="Q170" s="7"/>
      <c r="S170"/>
    </row>
    <row r="171" spans="1:19" x14ac:dyDescent="0.3">
      <c r="A171" s="1">
        <v>1013</v>
      </c>
      <c r="B171" s="2">
        <v>45220</v>
      </c>
      <c r="C171" s="1" t="s">
        <v>22</v>
      </c>
      <c r="D171" s="1" t="s">
        <v>45</v>
      </c>
      <c r="E171" s="1">
        <v>5039.07</v>
      </c>
      <c r="F171" s="1">
        <v>20</v>
      </c>
      <c r="G171" s="1" t="s">
        <v>31</v>
      </c>
      <c r="H171" s="1">
        <v>1533.36</v>
      </c>
      <c r="I171" s="1">
        <v>1649.73999999999</v>
      </c>
      <c r="J171" s="1" t="s">
        <v>17</v>
      </c>
      <c r="K171" s="1">
        <v>0.1</v>
      </c>
      <c r="L171" s="1" t="s">
        <v>25</v>
      </c>
      <c r="M171" s="1" t="s">
        <v>19</v>
      </c>
      <c r="N171" s="1">
        <f>SUM(Table3[[#This Row],[Unit_Price]]-Table3[[#This Row],[Unit_Cost]])</f>
        <v>116.3799999999901</v>
      </c>
      <c r="O171" s="7"/>
      <c r="P171" s="7"/>
      <c r="Q171" s="7"/>
      <c r="S171"/>
    </row>
    <row r="172" spans="1:19" x14ac:dyDescent="0.3">
      <c r="A172" s="1">
        <v>1032</v>
      </c>
      <c r="B172" s="2">
        <v>45085</v>
      </c>
      <c r="C172" s="1" t="s">
        <v>32</v>
      </c>
      <c r="D172" s="1" t="s">
        <v>46</v>
      </c>
      <c r="E172" s="1">
        <v>219.82</v>
      </c>
      <c r="F172" s="1">
        <v>49</v>
      </c>
      <c r="G172" s="1" t="s">
        <v>31</v>
      </c>
      <c r="H172" s="1">
        <v>4812.41</v>
      </c>
      <c r="I172" s="1">
        <v>5088</v>
      </c>
      <c r="J172" s="1" t="s">
        <v>17</v>
      </c>
      <c r="K172" s="1">
        <v>0.09</v>
      </c>
      <c r="L172" s="1" t="s">
        <v>28</v>
      </c>
      <c r="M172" s="1" t="s">
        <v>19</v>
      </c>
      <c r="N172" s="1">
        <f>SUM(Table3[[#This Row],[Unit_Price]]-Table3[[#This Row],[Unit_Cost]])</f>
        <v>275.59000000000015</v>
      </c>
      <c r="O172" s="7"/>
      <c r="P172" s="7"/>
      <c r="Q172" s="7"/>
      <c r="S172"/>
    </row>
    <row r="173" spans="1:19" x14ac:dyDescent="0.3">
      <c r="A173" s="1">
        <v>1071</v>
      </c>
      <c r="B173" s="2">
        <v>45229</v>
      </c>
      <c r="C173" s="1" t="s">
        <v>33</v>
      </c>
      <c r="D173" s="1" t="s">
        <v>47</v>
      </c>
      <c r="E173" s="1">
        <v>189.48</v>
      </c>
      <c r="F173" s="1">
        <v>22</v>
      </c>
      <c r="G173" s="1" t="s">
        <v>31</v>
      </c>
      <c r="H173" s="1">
        <v>2701.39</v>
      </c>
      <c r="I173" s="1">
        <v>3185.81</v>
      </c>
      <c r="J173" s="1" t="s">
        <v>27</v>
      </c>
      <c r="K173" s="1">
        <v>0.01</v>
      </c>
      <c r="L173" s="1" t="s">
        <v>25</v>
      </c>
      <c r="M173" s="1" t="s">
        <v>19</v>
      </c>
      <c r="N173" s="1">
        <f>SUM(Table3[[#This Row],[Unit_Price]]-Table3[[#This Row],[Unit_Cost]])</f>
        <v>484.42000000000007</v>
      </c>
      <c r="O173" s="7"/>
      <c r="P173" s="7"/>
      <c r="Q173" s="7"/>
      <c r="S173"/>
    </row>
    <row r="174" spans="1:19" x14ac:dyDescent="0.3">
      <c r="A174" s="1">
        <v>1059</v>
      </c>
      <c r="B174" s="2">
        <v>45154</v>
      </c>
      <c r="C174" s="1" t="s">
        <v>33</v>
      </c>
      <c r="D174" s="1" t="s">
        <v>48</v>
      </c>
      <c r="E174" s="1">
        <v>3634.59</v>
      </c>
      <c r="F174" s="1">
        <v>21</v>
      </c>
      <c r="G174" s="1" t="s">
        <v>26</v>
      </c>
      <c r="H174" s="1">
        <v>3110.54</v>
      </c>
      <c r="I174" s="1">
        <v>3192.99</v>
      </c>
      <c r="J174" s="1" t="s">
        <v>27</v>
      </c>
      <c r="K174" s="1">
        <v>0.17</v>
      </c>
      <c r="L174" s="1" t="s">
        <v>28</v>
      </c>
      <c r="M174" s="1" t="s">
        <v>19</v>
      </c>
      <c r="N174" s="1">
        <f>SUM(Table3[[#This Row],[Unit_Price]]-Table3[[#This Row],[Unit_Cost]])</f>
        <v>82.449999999999818</v>
      </c>
      <c r="O174" s="7"/>
      <c r="P174" s="7"/>
      <c r="Q174" s="7"/>
      <c r="S174"/>
    </row>
    <row r="175" spans="1:19" x14ac:dyDescent="0.3">
      <c r="A175" s="1">
        <v>1086</v>
      </c>
      <c r="B175" s="2">
        <v>45291</v>
      </c>
      <c r="C175" s="1" t="s">
        <v>33</v>
      </c>
      <c r="D175" s="1" t="s">
        <v>49</v>
      </c>
      <c r="E175" s="1">
        <v>9269.32</v>
      </c>
      <c r="F175" s="1">
        <v>33</v>
      </c>
      <c r="G175" s="1" t="s">
        <v>26</v>
      </c>
      <c r="H175" s="1">
        <v>3419.33</v>
      </c>
      <c r="I175" s="1">
        <v>3890.3599999999901</v>
      </c>
      <c r="J175" s="1" t="s">
        <v>17</v>
      </c>
      <c r="K175" s="1">
        <v>0.21</v>
      </c>
      <c r="L175" s="1" t="s">
        <v>18</v>
      </c>
      <c r="M175" s="1" t="s">
        <v>21</v>
      </c>
      <c r="N175" s="1">
        <f>SUM(Table3[[#This Row],[Unit_Price]]-Table3[[#This Row],[Unit_Cost]])</f>
        <v>471.0299999999902</v>
      </c>
      <c r="O175" s="7"/>
      <c r="P175" s="7"/>
      <c r="Q175" s="7"/>
      <c r="S175"/>
    </row>
    <row r="176" spans="1:19" x14ac:dyDescent="0.3">
      <c r="A176" s="1">
        <v>1028</v>
      </c>
      <c r="B176" s="2">
        <v>45142</v>
      </c>
      <c r="C176" s="1" t="s">
        <v>33</v>
      </c>
      <c r="D176" s="1" t="s">
        <v>50</v>
      </c>
      <c r="E176" s="1">
        <v>2363.9</v>
      </c>
      <c r="F176" s="1">
        <v>38</v>
      </c>
      <c r="G176" s="1" t="s">
        <v>26</v>
      </c>
      <c r="H176" s="1">
        <v>3350.32</v>
      </c>
      <c r="I176" s="1">
        <v>3449.94</v>
      </c>
      <c r="J176" s="1" t="s">
        <v>27</v>
      </c>
      <c r="K176" s="1">
        <v>0.26</v>
      </c>
      <c r="L176" s="1" t="s">
        <v>18</v>
      </c>
      <c r="M176" s="1" t="s">
        <v>19</v>
      </c>
      <c r="N176" s="1">
        <f>SUM(Table3[[#This Row],[Unit_Price]]-Table3[[#This Row],[Unit_Cost]])</f>
        <v>99.619999999999891</v>
      </c>
      <c r="O176" s="7"/>
      <c r="P176" s="7"/>
      <c r="Q176" s="7"/>
      <c r="S176"/>
    </row>
    <row r="177" spans="1:19" x14ac:dyDescent="0.3">
      <c r="A177" s="1">
        <v>1066</v>
      </c>
      <c r="B177" s="2">
        <v>45110</v>
      </c>
      <c r="C177" s="1" t="s">
        <v>29</v>
      </c>
      <c r="D177" s="1" t="s">
        <v>44</v>
      </c>
      <c r="E177" s="1">
        <v>6380.2</v>
      </c>
      <c r="F177" s="1">
        <v>15</v>
      </c>
      <c r="G177" s="1" t="s">
        <v>16</v>
      </c>
      <c r="H177" s="1">
        <v>2579.31</v>
      </c>
      <c r="I177" s="1">
        <v>2867.36</v>
      </c>
      <c r="J177" s="1" t="s">
        <v>17</v>
      </c>
      <c r="K177" s="1">
        <v>0.04</v>
      </c>
      <c r="L177" s="1" t="s">
        <v>25</v>
      </c>
      <c r="M177" s="1" t="s">
        <v>21</v>
      </c>
      <c r="N177" s="1">
        <f>SUM(Table3[[#This Row],[Unit_Price]]-Table3[[#This Row],[Unit_Cost]])</f>
        <v>288.05000000000018</v>
      </c>
      <c r="O177" s="7"/>
      <c r="P177" s="7"/>
      <c r="Q177" s="7"/>
      <c r="S177"/>
    </row>
    <row r="178" spans="1:19" x14ac:dyDescent="0.3">
      <c r="A178" s="1">
        <v>1042</v>
      </c>
      <c r="B178" s="2">
        <v>44941</v>
      </c>
      <c r="C178" s="1" t="s">
        <v>22</v>
      </c>
      <c r="D178" s="1" t="s">
        <v>45</v>
      </c>
      <c r="E178" s="1">
        <v>2298.5500000000002</v>
      </c>
      <c r="F178" s="1">
        <v>46</v>
      </c>
      <c r="G178" s="1" t="s">
        <v>16</v>
      </c>
      <c r="H178" s="1">
        <v>2172.38</v>
      </c>
      <c r="I178" s="1">
        <v>2367.11</v>
      </c>
      <c r="J178" s="1" t="s">
        <v>27</v>
      </c>
      <c r="K178" s="1">
        <v>0.16</v>
      </c>
      <c r="L178" s="1" t="s">
        <v>18</v>
      </c>
      <c r="M178" s="1" t="s">
        <v>21</v>
      </c>
      <c r="N178" s="1">
        <f>SUM(Table3[[#This Row],[Unit_Price]]-Table3[[#This Row],[Unit_Cost]])</f>
        <v>194.73000000000002</v>
      </c>
      <c r="O178" s="7"/>
      <c r="P178" s="7"/>
      <c r="Q178" s="7"/>
      <c r="S178"/>
    </row>
    <row r="179" spans="1:19" x14ac:dyDescent="0.3">
      <c r="A179" s="1">
        <v>1045</v>
      </c>
      <c r="B179" s="2">
        <v>45083</v>
      </c>
      <c r="C179" s="1" t="s">
        <v>14</v>
      </c>
      <c r="D179" s="1" t="s">
        <v>46</v>
      </c>
      <c r="E179" s="1">
        <v>3284.53</v>
      </c>
      <c r="F179" s="1">
        <v>15</v>
      </c>
      <c r="G179" s="1" t="s">
        <v>31</v>
      </c>
      <c r="H179" s="1">
        <v>316.22000000000003</v>
      </c>
      <c r="I179" s="1">
        <v>799.04</v>
      </c>
      <c r="J179" s="1" t="s">
        <v>27</v>
      </c>
      <c r="K179" s="1">
        <v>0</v>
      </c>
      <c r="L179" s="1" t="s">
        <v>25</v>
      </c>
      <c r="M179" s="1" t="s">
        <v>19</v>
      </c>
      <c r="N179" s="1">
        <f>SUM(Table3[[#This Row],[Unit_Price]]-Table3[[#This Row],[Unit_Cost]])</f>
        <v>482.81999999999994</v>
      </c>
      <c r="O179" s="7"/>
      <c r="P179" s="7"/>
      <c r="Q179" s="7"/>
      <c r="S179"/>
    </row>
    <row r="180" spans="1:19" x14ac:dyDescent="0.3">
      <c r="A180" s="1">
        <v>1062</v>
      </c>
      <c r="B180" s="2">
        <v>45062</v>
      </c>
      <c r="C180" s="1" t="s">
        <v>29</v>
      </c>
      <c r="D180" s="1" t="s">
        <v>47</v>
      </c>
      <c r="E180" s="1">
        <v>8495.6200000000008</v>
      </c>
      <c r="F180" s="1">
        <v>46</v>
      </c>
      <c r="G180" s="1" t="s">
        <v>16</v>
      </c>
      <c r="H180" s="1">
        <v>159.32</v>
      </c>
      <c r="I180" s="1">
        <v>303.36</v>
      </c>
      <c r="J180" s="1" t="s">
        <v>27</v>
      </c>
      <c r="K180" s="1">
        <v>0.03</v>
      </c>
      <c r="L180" s="1" t="s">
        <v>18</v>
      </c>
      <c r="M180" s="1" t="s">
        <v>21</v>
      </c>
      <c r="N180" s="1">
        <f>SUM(Table3[[#This Row],[Unit_Price]]-Table3[[#This Row],[Unit_Cost]])</f>
        <v>144.04000000000002</v>
      </c>
      <c r="O180" s="7"/>
      <c r="P180" s="7"/>
      <c r="Q180" s="7"/>
      <c r="S180"/>
    </row>
    <row r="181" spans="1:19" x14ac:dyDescent="0.3">
      <c r="A181" s="1">
        <v>1057</v>
      </c>
      <c r="B181" s="2">
        <v>45187</v>
      </c>
      <c r="C181" s="1" t="s">
        <v>29</v>
      </c>
      <c r="D181" s="1" t="s">
        <v>48</v>
      </c>
      <c r="E181" s="1">
        <v>7315.73</v>
      </c>
      <c r="F181" s="1">
        <v>25</v>
      </c>
      <c r="G181" s="1" t="s">
        <v>24</v>
      </c>
      <c r="H181" s="1">
        <v>1821.91</v>
      </c>
      <c r="I181" s="1">
        <v>2027.74</v>
      </c>
      <c r="J181" s="1" t="s">
        <v>27</v>
      </c>
      <c r="K181" s="1">
        <v>0.02</v>
      </c>
      <c r="L181" s="1" t="s">
        <v>25</v>
      </c>
      <c r="M181" s="1" t="s">
        <v>21</v>
      </c>
      <c r="N181" s="1">
        <f>SUM(Table3[[#This Row],[Unit_Price]]-Table3[[#This Row],[Unit_Cost]])</f>
        <v>205.82999999999993</v>
      </c>
      <c r="O181" s="7"/>
      <c r="P181" s="7"/>
      <c r="Q181" s="7"/>
      <c r="S181"/>
    </row>
    <row r="182" spans="1:19" x14ac:dyDescent="0.3">
      <c r="A182" s="1">
        <v>1006</v>
      </c>
      <c r="B182" s="2">
        <v>45083</v>
      </c>
      <c r="C182" s="1" t="s">
        <v>14</v>
      </c>
      <c r="D182" s="1" t="s">
        <v>49</v>
      </c>
      <c r="E182" s="1">
        <v>1044.45</v>
      </c>
      <c r="F182" s="1">
        <v>21</v>
      </c>
      <c r="G182" s="1" t="s">
        <v>31</v>
      </c>
      <c r="H182" s="1">
        <v>1701.62</v>
      </c>
      <c r="I182" s="1">
        <v>2193.2199999999998</v>
      </c>
      <c r="J182" s="1" t="s">
        <v>27</v>
      </c>
      <c r="K182" s="1">
        <v>0.22</v>
      </c>
      <c r="L182" s="1" t="s">
        <v>25</v>
      </c>
      <c r="M182" s="1" t="s">
        <v>21</v>
      </c>
      <c r="N182" s="1">
        <f>SUM(Table3[[#This Row],[Unit_Price]]-Table3[[#This Row],[Unit_Cost]])</f>
        <v>491.59999999999991</v>
      </c>
      <c r="O182" s="7"/>
      <c r="P182" s="7"/>
      <c r="Q182" s="7"/>
      <c r="S182"/>
    </row>
    <row r="183" spans="1:19" x14ac:dyDescent="0.3">
      <c r="A183" s="1">
        <v>1028</v>
      </c>
      <c r="B183" s="2">
        <v>44973</v>
      </c>
      <c r="C183" s="1" t="s">
        <v>14</v>
      </c>
      <c r="D183" s="1" t="s">
        <v>50</v>
      </c>
      <c r="E183" s="1">
        <v>4344.1499999999996</v>
      </c>
      <c r="F183" s="1">
        <v>24</v>
      </c>
      <c r="G183" s="1" t="s">
        <v>31</v>
      </c>
      <c r="H183" s="1">
        <v>1969.09</v>
      </c>
      <c r="I183" s="1">
        <v>2241.96</v>
      </c>
      <c r="J183" s="1" t="s">
        <v>17</v>
      </c>
      <c r="K183" s="1">
        <v>0.02</v>
      </c>
      <c r="L183" s="1" t="s">
        <v>28</v>
      </c>
      <c r="M183" s="1" t="s">
        <v>19</v>
      </c>
      <c r="N183" s="1">
        <f>SUM(Table3[[#This Row],[Unit_Price]]-Table3[[#This Row],[Unit_Cost]])</f>
        <v>272.87000000000012</v>
      </c>
      <c r="O183" s="7"/>
      <c r="P183" s="7"/>
      <c r="Q183" s="7"/>
      <c r="S183"/>
    </row>
    <row r="184" spans="1:19" x14ac:dyDescent="0.3">
      <c r="A184" s="1">
        <v>1028</v>
      </c>
      <c r="B184" s="2">
        <v>45250</v>
      </c>
      <c r="C184" s="1" t="s">
        <v>33</v>
      </c>
      <c r="D184" s="1" t="s">
        <v>44</v>
      </c>
      <c r="E184" s="1">
        <v>388.78</v>
      </c>
      <c r="F184" s="1">
        <v>5</v>
      </c>
      <c r="G184" s="1" t="s">
        <v>24</v>
      </c>
      <c r="H184" s="1">
        <v>734.92</v>
      </c>
      <c r="I184" s="1">
        <v>991.21</v>
      </c>
      <c r="J184" s="1" t="s">
        <v>17</v>
      </c>
      <c r="K184" s="1">
        <v>0.21</v>
      </c>
      <c r="L184" s="1" t="s">
        <v>28</v>
      </c>
      <c r="M184" s="1" t="s">
        <v>19</v>
      </c>
      <c r="N184" s="1">
        <f>SUM(Table3[[#This Row],[Unit_Price]]-Table3[[#This Row],[Unit_Cost]])</f>
        <v>256.29000000000008</v>
      </c>
      <c r="O184" s="7"/>
      <c r="P184" s="7"/>
      <c r="Q184" s="7"/>
      <c r="S184"/>
    </row>
    <row r="185" spans="1:19" x14ac:dyDescent="0.3">
      <c r="A185" s="1">
        <v>1044</v>
      </c>
      <c r="B185" s="2">
        <v>45258</v>
      </c>
      <c r="C185" s="1" t="s">
        <v>29</v>
      </c>
      <c r="D185" s="1" t="s">
        <v>45</v>
      </c>
      <c r="E185" s="1">
        <v>4860.8100000000004</v>
      </c>
      <c r="F185" s="1">
        <v>6</v>
      </c>
      <c r="G185" s="1" t="s">
        <v>31</v>
      </c>
      <c r="H185" s="1">
        <v>3703.93</v>
      </c>
      <c r="I185" s="1">
        <v>3840.24</v>
      </c>
      <c r="J185" s="1" t="s">
        <v>27</v>
      </c>
      <c r="K185" s="1">
        <v>7.0000000000000007E-2</v>
      </c>
      <c r="L185" s="1" t="s">
        <v>28</v>
      </c>
      <c r="M185" s="1" t="s">
        <v>19</v>
      </c>
      <c r="N185" s="1">
        <f>SUM(Table3[[#This Row],[Unit_Price]]-Table3[[#This Row],[Unit_Cost]])</f>
        <v>136.30999999999995</v>
      </c>
      <c r="O185" s="7"/>
      <c r="P185" s="7"/>
      <c r="Q185" s="7"/>
      <c r="S185"/>
    </row>
    <row r="186" spans="1:19" x14ac:dyDescent="0.3">
      <c r="A186" s="1">
        <v>1084</v>
      </c>
      <c r="B186" s="2">
        <v>45099</v>
      </c>
      <c r="C186" s="1" t="s">
        <v>32</v>
      </c>
      <c r="D186" s="1" t="s">
        <v>46</v>
      </c>
      <c r="E186" s="1">
        <v>6658.1</v>
      </c>
      <c r="F186" s="1">
        <v>49</v>
      </c>
      <c r="G186" s="1" t="s">
        <v>16</v>
      </c>
      <c r="H186" s="1">
        <v>4291.97</v>
      </c>
      <c r="I186" s="1">
        <v>4645.6400000000003</v>
      </c>
      <c r="J186" s="1" t="s">
        <v>17</v>
      </c>
      <c r="K186" s="1">
        <v>0.26</v>
      </c>
      <c r="L186" s="1" t="s">
        <v>28</v>
      </c>
      <c r="M186" s="1" t="s">
        <v>19</v>
      </c>
      <c r="N186" s="1">
        <f>SUM(Table3[[#This Row],[Unit_Price]]-Table3[[#This Row],[Unit_Cost]])</f>
        <v>353.67000000000007</v>
      </c>
      <c r="O186" s="7"/>
      <c r="P186" s="7"/>
      <c r="Q186" s="7"/>
      <c r="S186"/>
    </row>
    <row r="187" spans="1:19" x14ac:dyDescent="0.3">
      <c r="A187" s="1">
        <v>1030</v>
      </c>
      <c r="B187" s="2">
        <v>45056</v>
      </c>
      <c r="C187" s="1" t="s">
        <v>14</v>
      </c>
      <c r="D187" s="1" t="s">
        <v>47</v>
      </c>
      <c r="E187" s="1">
        <v>1273.18</v>
      </c>
      <c r="F187" s="1">
        <v>43</v>
      </c>
      <c r="G187" s="1" t="s">
        <v>26</v>
      </c>
      <c r="H187" s="1">
        <v>4696.6400000000003</v>
      </c>
      <c r="I187" s="1">
        <v>4713.68</v>
      </c>
      <c r="J187" s="1" t="s">
        <v>17</v>
      </c>
      <c r="K187" s="1">
        <v>0.24</v>
      </c>
      <c r="L187" s="1" t="s">
        <v>25</v>
      </c>
      <c r="M187" s="1" t="s">
        <v>19</v>
      </c>
      <c r="N187" s="1">
        <f>SUM(Table3[[#This Row],[Unit_Price]]-Table3[[#This Row],[Unit_Cost]])</f>
        <v>17.039999999999964</v>
      </c>
      <c r="O187" s="7"/>
      <c r="P187" s="7"/>
      <c r="Q187" s="7"/>
      <c r="S187"/>
    </row>
    <row r="188" spans="1:19" x14ac:dyDescent="0.3">
      <c r="A188" s="1">
        <v>1062</v>
      </c>
      <c r="B188" s="2">
        <v>45021</v>
      </c>
      <c r="C188" s="1" t="s">
        <v>14</v>
      </c>
      <c r="D188" s="1" t="s">
        <v>48</v>
      </c>
      <c r="E188" s="1">
        <v>2959.96</v>
      </c>
      <c r="F188" s="1">
        <v>48</v>
      </c>
      <c r="G188" s="1" t="s">
        <v>24</v>
      </c>
      <c r="H188" s="1">
        <v>2487.19</v>
      </c>
      <c r="I188" s="1">
        <v>2521.4499999999998</v>
      </c>
      <c r="J188" s="1" t="s">
        <v>27</v>
      </c>
      <c r="K188" s="1">
        <v>0.28999999999999998</v>
      </c>
      <c r="L188" s="1" t="s">
        <v>18</v>
      </c>
      <c r="M188" s="1" t="s">
        <v>19</v>
      </c>
      <c r="N188" s="1">
        <f>SUM(Table3[[#This Row],[Unit_Price]]-Table3[[#This Row],[Unit_Cost]])</f>
        <v>34.259999999999764</v>
      </c>
      <c r="O188" s="7"/>
      <c r="P188" s="7"/>
      <c r="Q188" s="7"/>
      <c r="S188"/>
    </row>
    <row r="189" spans="1:19" x14ac:dyDescent="0.3">
      <c r="A189" s="1">
        <v>1075</v>
      </c>
      <c r="B189" s="2">
        <v>45041</v>
      </c>
      <c r="C189" s="1" t="s">
        <v>22</v>
      </c>
      <c r="D189" s="1" t="s">
        <v>49</v>
      </c>
      <c r="E189" s="1">
        <v>4038.58</v>
      </c>
      <c r="F189" s="1">
        <v>44</v>
      </c>
      <c r="G189" s="1" t="s">
        <v>16</v>
      </c>
      <c r="H189" s="1">
        <v>3519.29</v>
      </c>
      <c r="I189" s="1">
        <v>3822.98</v>
      </c>
      <c r="J189" s="1" t="s">
        <v>17</v>
      </c>
      <c r="K189" s="1">
        <v>0.27</v>
      </c>
      <c r="L189" s="1" t="s">
        <v>25</v>
      </c>
      <c r="M189" s="1" t="s">
        <v>19</v>
      </c>
      <c r="N189" s="1">
        <f>SUM(Table3[[#This Row],[Unit_Price]]-Table3[[#This Row],[Unit_Cost]])</f>
        <v>303.69000000000005</v>
      </c>
      <c r="O189" s="7"/>
      <c r="P189" s="7"/>
      <c r="Q189" s="7"/>
      <c r="S189"/>
    </row>
    <row r="190" spans="1:19" x14ac:dyDescent="0.3">
      <c r="A190" s="1">
        <v>1092</v>
      </c>
      <c r="B190" s="2">
        <v>45169</v>
      </c>
      <c r="C190" s="1" t="s">
        <v>32</v>
      </c>
      <c r="D190" s="1" t="s">
        <v>50</v>
      </c>
      <c r="E190" s="1">
        <v>9203.36</v>
      </c>
      <c r="F190" s="1">
        <v>47</v>
      </c>
      <c r="G190" s="1" t="s">
        <v>24</v>
      </c>
      <c r="H190" s="1">
        <v>4284.9799999999996</v>
      </c>
      <c r="I190" s="1">
        <v>4462.3999999999996</v>
      </c>
      <c r="J190" s="1" t="s">
        <v>27</v>
      </c>
      <c r="K190" s="1">
        <v>0.28000000000000003</v>
      </c>
      <c r="L190" s="1" t="s">
        <v>28</v>
      </c>
      <c r="M190" s="1" t="s">
        <v>21</v>
      </c>
      <c r="N190" s="1">
        <f>SUM(Table3[[#This Row],[Unit_Price]]-Table3[[#This Row],[Unit_Cost]])</f>
        <v>177.42000000000007</v>
      </c>
      <c r="O190" s="7"/>
      <c r="P190" s="7"/>
      <c r="Q190" s="7"/>
      <c r="S190"/>
    </row>
    <row r="191" spans="1:19" x14ac:dyDescent="0.3">
      <c r="A191" s="1">
        <v>1089</v>
      </c>
      <c r="B191" s="2">
        <v>45218</v>
      </c>
      <c r="C191" s="1" t="s">
        <v>32</v>
      </c>
      <c r="D191" s="1" t="s">
        <v>44</v>
      </c>
      <c r="E191" s="1">
        <v>9933.2199999999993</v>
      </c>
      <c r="F191" s="1">
        <v>23</v>
      </c>
      <c r="G191" s="1" t="s">
        <v>24</v>
      </c>
      <c r="H191" s="1">
        <v>2120.54</v>
      </c>
      <c r="I191" s="1">
        <v>2597.67</v>
      </c>
      <c r="J191" s="1" t="s">
        <v>17</v>
      </c>
      <c r="K191" s="1">
        <v>0.26</v>
      </c>
      <c r="L191" s="1" t="s">
        <v>28</v>
      </c>
      <c r="M191" s="1" t="s">
        <v>21</v>
      </c>
      <c r="N191" s="1">
        <f>SUM(Table3[[#This Row],[Unit_Price]]-Table3[[#This Row],[Unit_Cost]])</f>
        <v>477.13000000000011</v>
      </c>
      <c r="O191" s="7"/>
      <c r="P191" s="7"/>
      <c r="Q191" s="7"/>
      <c r="S191"/>
    </row>
    <row r="192" spans="1:19" x14ac:dyDescent="0.3">
      <c r="A192" s="1">
        <v>1062</v>
      </c>
      <c r="B192" s="2">
        <v>45208</v>
      </c>
      <c r="C192" s="1" t="s">
        <v>14</v>
      </c>
      <c r="D192" s="1" t="s">
        <v>45</v>
      </c>
      <c r="E192" s="1">
        <v>544.62</v>
      </c>
      <c r="F192" s="1">
        <v>4</v>
      </c>
      <c r="G192" s="1" t="s">
        <v>31</v>
      </c>
      <c r="H192" s="1">
        <v>1581.59</v>
      </c>
      <c r="I192" s="1">
        <v>2034.1499999999901</v>
      </c>
      <c r="J192" s="1" t="s">
        <v>17</v>
      </c>
      <c r="K192" s="1">
        <v>0.21</v>
      </c>
      <c r="L192" s="1" t="s">
        <v>18</v>
      </c>
      <c r="M192" s="1" t="s">
        <v>19</v>
      </c>
      <c r="N192" s="1">
        <f>SUM(Table3[[#This Row],[Unit_Price]]-Table3[[#This Row],[Unit_Cost]])</f>
        <v>452.55999999999017</v>
      </c>
      <c r="O192" s="7"/>
      <c r="P192" s="7"/>
      <c r="Q192" s="7"/>
      <c r="S192"/>
    </row>
    <row r="193" spans="1:19" x14ac:dyDescent="0.3">
      <c r="A193" s="1">
        <v>1097</v>
      </c>
      <c r="B193" s="2">
        <v>45225</v>
      </c>
      <c r="C193" s="1" t="s">
        <v>33</v>
      </c>
      <c r="D193" s="1" t="s">
        <v>46</v>
      </c>
      <c r="E193" s="1">
        <v>7633.98</v>
      </c>
      <c r="F193" s="1">
        <v>27</v>
      </c>
      <c r="G193" s="1" t="s">
        <v>31</v>
      </c>
      <c r="H193" s="1">
        <v>4686.79</v>
      </c>
      <c r="I193" s="1">
        <v>5046.51</v>
      </c>
      <c r="J193" s="1" t="s">
        <v>17</v>
      </c>
      <c r="K193" s="1">
        <v>0.05</v>
      </c>
      <c r="L193" s="1" t="s">
        <v>28</v>
      </c>
      <c r="M193" s="1" t="s">
        <v>21</v>
      </c>
      <c r="N193" s="1">
        <f>SUM(Table3[[#This Row],[Unit_Price]]-Table3[[#This Row],[Unit_Cost]])</f>
        <v>359.72000000000025</v>
      </c>
      <c r="O193" s="7"/>
      <c r="P193" s="7"/>
      <c r="Q193" s="7"/>
      <c r="S193"/>
    </row>
    <row r="194" spans="1:19" x14ac:dyDescent="0.3">
      <c r="A194" s="1">
        <v>1001</v>
      </c>
      <c r="B194" s="2">
        <v>45209</v>
      </c>
      <c r="C194" s="1" t="s">
        <v>22</v>
      </c>
      <c r="D194" s="1" t="s">
        <v>47</v>
      </c>
      <c r="E194" s="1">
        <v>3780.07</v>
      </c>
      <c r="F194" s="1">
        <v>18</v>
      </c>
      <c r="G194" s="1" t="s">
        <v>16</v>
      </c>
      <c r="H194" s="1">
        <v>2602.6</v>
      </c>
      <c r="I194" s="1">
        <v>3013.49</v>
      </c>
      <c r="J194" s="1" t="s">
        <v>17</v>
      </c>
      <c r="K194" s="1">
        <v>0.08</v>
      </c>
      <c r="L194" s="1" t="s">
        <v>25</v>
      </c>
      <c r="M194" s="1" t="s">
        <v>19</v>
      </c>
      <c r="N194" s="1">
        <f>SUM(Table3[[#This Row],[Unit_Price]]-Table3[[#This Row],[Unit_Cost]])</f>
        <v>410.88999999999987</v>
      </c>
      <c r="O194" s="7"/>
      <c r="P194" s="7"/>
      <c r="Q194" s="7"/>
      <c r="S194"/>
    </row>
    <row r="195" spans="1:19" x14ac:dyDescent="0.3">
      <c r="A195" s="1">
        <v>1027</v>
      </c>
      <c r="B195" s="2">
        <v>44995</v>
      </c>
      <c r="C195" s="1" t="s">
        <v>32</v>
      </c>
      <c r="D195" s="1" t="s">
        <v>48</v>
      </c>
      <c r="E195" s="1">
        <v>3985.34</v>
      </c>
      <c r="F195" s="1">
        <v>21</v>
      </c>
      <c r="G195" s="1" t="s">
        <v>24</v>
      </c>
      <c r="H195" s="1">
        <v>2511.41</v>
      </c>
      <c r="I195" s="1">
        <v>2848.3999999999901</v>
      </c>
      <c r="J195" s="1" t="s">
        <v>17</v>
      </c>
      <c r="K195" s="1">
        <v>0.06</v>
      </c>
      <c r="L195" s="1" t="s">
        <v>25</v>
      </c>
      <c r="M195" s="1" t="s">
        <v>19</v>
      </c>
      <c r="N195" s="1">
        <f>SUM(Table3[[#This Row],[Unit_Price]]-Table3[[#This Row],[Unit_Cost]])</f>
        <v>336.98999999999023</v>
      </c>
      <c r="O195" s="7"/>
      <c r="P195" s="7"/>
      <c r="Q195" s="7"/>
      <c r="S195"/>
    </row>
    <row r="196" spans="1:19" x14ac:dyDescent="0.3">
      <c r="A196" s="1">
        <v>1062</v>
      </c>
      <c r="B196" s="2">
        <v>45074</v>
      </c>
      <c r="C196" s="1" t="s">
        <v>14</v>
      </c>
      <c r="D196" s="1" t="s">
        <v>49</v>
      </c>
      <c r="E196" s="1">
        <v>7567.22</v>
      </c>
      <c r="F196" s="1">
        <v>28</v>
      </c>
      <c r="G196" s="1" t="s">
        <v>31</v>
      </c>
      <c r="H196" s="1">
        <v>933.16</v>
      </c>
      <c r="I196" s="1">
        <v>1004.69999999999</v>
      </c>
      <c r="J196" s="1" t="s">
        <v>17</v>
      </c>
      <c r="K196" s="1">
        <v>0.18</v>
      </c>
      <c r="L196" s="1" t="s">
        <v>25</v>
      </c>
      <c r="M196" s="1" t="s">
        <v>19</v>
      </c>
      <c r="N196" s="1">
        <f>SUM(Table3[[#This Row],[Unit_Price]]-Table3[[#This Row],[Unit_Cost]])</f>
        <v>71.539999999990073</v>
      </c>
      <c r="O196" s="7"/>
      <c r="P196" s="7"/>
      <c r="Q196" s="7"/>
      <c r="S196"/>
    </row>
    <row r="197" spans="1:19" x14ac:dyDescent="0.3">
      <c r="A197" s="1">
        <v>1077</v>
      </c>
      <c r="B197" s="2">
        <v>44937</v>
      </c>
      <c r="C197" s="1" t="s">
        <v>32</v>
      </c>
      <c r="D197" s="1" t="s">
        <v>50</v>
      </c>
      <c r="E197" s="1">
        <v>9192.42</v>
      </c>
      <c r="F197" s="1">
        <v>35</v>
      </c>
      <c r="G197" s="1" t="s">
        <v>31</v>
      </c>
      <c r="H197" s="1">
        <v>585.37</v>
      </c>
      <c r="I197" s="1">
        <v>970.49</v>
      </c>
      <c r="J197" s="1" t="s">
        <v>17</v>
      </c>
      <c r="K197" s="1">
        <v>0.15</v>
      </c>
      <c r="L197" s="1" t="s">
        <v>25</v>
      </c>
      <c r="M197" s="1" t="s">
        <v>21</v>
      </c>
      <c r="N197" s="1">
        <f>SUM(Table3[[#This Row],[Unit_Price]]-Table3[[#This Row],[Unit_Cost]])</f>
        <v>385.12</v>
      </c>
      <c r="O197" s="7"/>
      <c r="P197" s="7"/>
      <c r="Q197" s="7"/>
      <c r="S197"/>
    </row>
    <row r="198" spans="1:19" x14ac:dyDescent="0.3">
      <c r="A198" s="1">
        <v>1003</v>
      </c>
      <c r="B198" s="2">
        <v>45180</v>
      </c>
      <c r="C198" s="1" t="s">
        <v>22</v>
      </c>
      <c r="D198" s="1" t="s">
        <v>44</v>
      </c>
      <c r="E198" s="1">
        <v>9514.19</v>
      </c>
      <c r="F198" s="1">
        <v>22</v>
      </c>
      <c r="G198" s="1" t="s">
        <v>24</v>
      </c>
      <c r="H198" s="1">
        <v>4218.43</v>
      </c>
      <c r="I198" s="1">
        <v>4331.42</v>
      </c>
      <c r="J198" s="1" t="s">
        <v>27</v>
      </c>
      <c r="K198" s="1">
        <v>0.26</v>
      </c>
      <c r="L198" s="1" t="s">
        <v>25</v>
      </c>
      <c r="M198" s="1" t="s">
        <v>19</v>
      </c>
      <c r="N198" s="1">
        <f>SUM(Table3[[#This Row],[Unit_Price]]-Table3[[#This Row],[Unit_Cost]])</f>
        <v>112.98999999999978</v>
      </c>
      <c r="O198" s="7"/>
      <c r="P198" s="7"/>
      <c r="Q198" s="7"/>
      <c r="S198"/>
    </row>
    <row r="199" spans="1:19" x14ac:dyDescent="0.3">
      <c r="A199" s="1">
        <v>1070</v>
      </c>
      <c r="B199" s="2">
        <v>45256</v>
      </c>
      <c r="C199" s="1" t="s">
        <v>22</v>
      </c>
      <c r="D199" s="1" t="s">
        <v>45</v>
      </c>
      <c r="E199" s="1">
        <v>5813.51</v>
      </c>
      <c r="F199" s="1">
        <v>40</v>
      </c>
      <c r="G199" s="1" t="s">
        <v>16</v>
      </c>
      <c r="H199" s="1">
        <v>3089.96</v>
      </c>
      <c r="I199" s="1">
        <v>3258.45</v>
      </c>
      <c r="J199" s="1" t="s">
        <v>27</v>
      </c>
      <c r="K199" s="1">
        <v>0.28999999999999998</v>
      </c>
      <c r="L199" s="1" t="s">
        <v>18</v>
      </c>
      <c r="M199" s="1" t="s">
        <v>19</v>
      </c>
      <c r="N199" s="1">
        <f>SUM(Table3[[#This Row],[Unit_Price]]-Table3[[#This Row],[Unit_Cost]])</f>
        <v>168.48999999999978</v>
      </c>
      <c r="O199" s="7"/>
      <c r="P199" s="7"/>
      <c r="Q199" s="7"/>
      <c r="S199"/>
    </row>
    <row r="200" spans="1:19" x14ac:dyDescent="0.3">
      <c r="A200" s="1">
        <v>1072</v>
      </c>
      <c r="B200" s="2">
        <v>45286</v>
      </c>
      <c r="C200" s="1" t="s">
        <v>29</v>
      </c>
      <c r="D200" s="1" t="s">
        <v>46</v>
      </c>
      <c r="E200" s="1">
        <v>3635.5</v>
      </c>
      <c r="F200" s="1">
        <v>23</v>
      </c>
      <c r="G200" s="1" t="s">
        <v>16</v>
      </c>
      <c r="H200" s="1">
        <v>1662.83</v>
      </c>
      <c r="I200" s="1">
        <v>2074.25</v>
      </c>
      <c r="J200" s="1" t="s">
        <v>27</v>
      </c>
      <c r="K200" s="1">
        <v>0.12</v>
      </c>
      <c r="L200" s="1" t="s">
        <v>25</v>
      </c>
      <c r="M200" s="1" t="s">
        <v>19</v>
      </c>
      <c r="N200" s="1">
        <f>SUM(Table3[[#This Row],[Unit_Price]]-Table3[[#This Row],[Unit_Cost]])</f>
        <v>411.42000000000007</v>
      </c>
      <c r="O200" s="7"/>
      <c r="P200" s="7"/>
      <c r="Q200" s="7"/>
      <c r="S200"/>
    </row>
    <row r="201" spans="1:19" x14ac:dyDescent="0.3">
      <c r="A201" s="1">
        <v>1027</v>
      </c>
      <c r="B201" s="2">
        <v>44964</v>
      </c>
      <c r="C201" s="1" t="s">
        <v>14</v>
      </c>
      <c r="D201" s="1" t="s">
        <v>47</v>
      </c>
      <c r="E201" s="1">
        <v>7896.74</v>
      </c>
      <c r="F201" s="1">
        <v>3</v>
      </c>
      <c r="G201" s="1" t="s">
        <v>24</v>
      </c>
      <c r="H201" s="1">
        <v>999.09</v>
      </c>
      <c r="I201" s="1">
        <v>1271.99</v>
      </c>
      <c r="J201" s="1" t="s">
        <v>27</v>
      </c>
      <c r="K201" s="1">
        <v>0.15</v>
      </c>
      <c r="L201" s="1" t="s">
        <v>28</v>
      </c>
      <c r="M201" s="1" t="s">
        <v>19</v>
      </c>
      <c r="N201" s="1">
        <f>SUM(Table3[[#This Row],[Unit_Price]]-Table3[[#This Row],[Unit_Cost]])</f>
        <v>272.89999999999998</v>
      </c>
      <c r="O201" s="7"/>
      <c r="P201" s="7"/>
      <c r="Q201" s="7"/>
      <c r="S201"/>
    </row>
    <row r="202" spans="1:19" x14ac:dyDescent="0.3">
      <c r="A202" s="1">
        <v>1009</v>
      </c>
      <c r="B202" s="2">
        <v>45060</v>
      </c>
      <c r="C202" s="1" t="s">
        <v>22</v>
      </c>
      <c r="D202" s="1" t="s">
        <v>48</v>
      </c>
      <c r="E202" s="1">
        <v>2584.91</v>
      </c>
      <c r="F202" s="1">
        <v>40</v>
      </c>
      <c r="G202" s="1" t="s">
        <v>16</v>
      </c>
      <c r="H202" s="1">
        <v>2799.71</v>
      </c>
      <c r="I202" s="1">
        <v>3231.08</v>
      </c>
      <c r="J202" s="1" t="s">
        <v>17</v>
      </c>
      <c r="K202" s="1">
        <v>0.28999999999999998</v>
      </c>
      <c r="L202" s="1" t="s">
        <v>28</v>
      </c>
      <c r="M202" s="1" t="s">
        <v>21</v>
      </c>
      <c r="N202" s="1">
        <f>SUM(Table3[[#This Row],[Unit_Price]]-Table3[[#This Row],[Unit_Cost]])</f>
        <v>431.36999999999989</v>
      </c>
      <c r="O202" s="7"/>
      <c r="P202" s="7"/>
      <c r="Q202" s="7"/>
      <c r="S202"/>
    </row>
    <row r="203" spans="1:19" x14ac:dyDescent="0.3">
      <c r="A203" s="1">
        <v>1062</v>
      </c>
      <c r="B203" s="2">
        <v>45126</v>
      </c>
      <c r="C203" s="1" t="s">
        <v>29</v>
      </c>
      <c r="D203" s="1" t="s">
        <v>49</v>
      </c>
      <c r="E203" s="1">
        <v>5684.33</v>
      </c>
      <c r="F203" s="1">
        <v>10</v>
      </c>
      <c r="G203" s="1" t="s">
        <v>31</v>
      </c>
      <c r="H203" s="1">
        <v>2940.4</v>
      </c>
      <c r="I203" s="1">
        <v>3054.79</v>
      </c>
      <c r="J203" s="1" t="s">
        <v>17</v>
      </c>
      <c r="K203" s="1">
        <v>0.08</v>
      </c>
      <c r="L203" s="1" t="s">
        <v>28</v>
      </c>
      <c r="M203" s="1" t="s">
        <v>19</v>
      </c>
      <c r="N203" s="1">
        <f>SUM(Table3[[#This Row],[Unit_Price]]-Table3[[#This Row],[Unit_Cost]])</f>
        <v>114.38999999999987</v>
      </c>
      <c r="O203" s="7"/>
      <c r="P203" s="7"/>
      <c r="Q203" s="7"/>
      <c r="S203"/>
    </row>
    <row r="204" spans="1:19" x14ac:dyDescent="0.3">
      <c r="A204" s="1">
        <v>1037</v>
      </c>
      <c r="B204" s="2">
        <v>44949</v>
      </c>
      <c r="C204" s="1" t="s">
        <v>29</v>
      </c>
      <c r="D204" s="1" t="s">
        <v>50</v>
      </c>
      <c r="E204" s="1">
        <v>3649.93</v>
      </c>
      <c r="F204" s="1">
        <v>25</v>
      </c>
      <c r="G204" s="1" t="s">
        <v>24</v>
      </c>
      <c r="H204" s="1">
        <v>1074.6199999999999</v>
      </c>
      <c r="I204" s="1">
        <v>1382.4299999999901</v>
      </c>
      <c r="J204" s="1" t="s">
        <v>17</v>
      </c>
      <c r="K204" s="1">
        <v>0.24</v>
      </c>
      <c r="L204" s="1" t="s">
        <v>28</v>
      </c>
      <c r="M204" s="1" t="s">
        <v>21</v>
      </c>
      <c r="N204" s="1">
        <f>SUM(Table3[[#This Row],[Unit_Price]]-Table3[[#This Row],[Unit_Cost]])</f>
        <v>307.80999999999017</v>
      </c>
      <c r="O204" s="7"/>
      <c r="P204" s="7"/>
      <c r="Q204" s="7"/>
      <c r="S204"/>
    </row>
    <row r="205" spans="1:19" x14ac:dyDescent="0.3">
      <c r="A205" s="1">
        <v>1097</v>
      </c>
      <c r="B205" s="2">
        <v>45229</v>
      </c>
      <c r="C205" s="1" t="s">
        <v>32</v>
      </c>
      <c r="D205" s="1" t="s">
        <v>44</v>
      </c>
      <c r="E205" s="1">
        <v>6600.65</v>
      </c>
      <c r="F205" s="1">
        <v>49</v>
      </c>
      <c r="G205" s="1" t="s">
        <v>31</v>
      </c>
      <c r="H205" s="1">
        <v>4264.46</v>
      </c>
      <c r="I205" s="1">
        <v>4315.5200000000004</v>
      </c>
      <c r="J205" s="1" t="s">
        <v>27</v>
      </c>
      <c r="K205" s="1">
        <v>7.0000000000000007E-2</v>
      </c>
      <c r="L205" s="1" t="s">
        <v>18</v>
      </c>
      <c r="M205" s="1" t="s">
        <v>21</v>
      </c>
      <c r="N205" s="1">
        <f>SUM(Table3[[#This Row],[Unit_Price]]-Table3[[#This Row],[Unit_Cost]])</f>
        <v>51.0600000000004</v>
      </c>
      <c r="O205" s="7"/>
      <c r="P205" s="7"/>
      <c r="Q205" s="7"/>
      <c r="S205"/>
    </row>
    <row r="206" spans="1:19" x14ac:dyDescent="0.3">
      <c r="A206" s="1">
        <v>1051</v>
      </c>
      <c r="B206" s="2">
        <v>45272</v>
      </c>
      <c r="C206" s="1" t="s">
        <v>32</v>
      </c>
      <c r="D206" s="1" t="s">
        <v>45</v>
      </c>
      <c r="E206" s="1">
        <v>2479.9499999999998</v>
      </c>
      <c r="F206" s="1">
        <v>8</v>
      </c>
      <c r="G206" s="1" t="s">
        <v>26</v>
      </c>
      <c r="H206" s="1">
        <v>467.11</v>
      </c>
      <c r="I206" s="1">
        <v>792.21</v>
      </c>
      <c r="J206" s="1" t="s">
        <v>27</v>
      </c>
      <c r="K206" s="1">
        <v>0.2</v>
      </c>
      <c r="L206" s="1" t="s">
        <v>28</v>
      </c>
      <c r="M206" s="1" t="s">
        <v>19</v>
      </c>
      <c r="N206" s="1">
        <f>SUM(Table3[[#This Row],[Unit_Price]]-Table3[[#This Row],[Unit_Cost]])</f>
        <v>325.10000000000002</v>
      </c>
      <c r="O206" s="7"/>
      <c r="P206" s="7"/>
      <c r="Q206" s="7"/>
      <c r="S206"/>
    </row>
    <row r="207" spans="1:19" x14ac:dyDescent="0.3">
      <c r="A207" s="1">
        <v>1044</v>
      </c>
      <c r="B207" s="2">
        <v>45228</v>
      </c>
      <c r="C207" s="1" t="s">
        <v>29</v>
      </c>
      <c r="D207" s="1" t="s">
        <v>46</v>
      </c>
      <c r="E207" s="1">
        <v>1996.77</v>
      </c>
      <c r="F207" s="1">
        <v>11</v>
      </c>
      <c r="G207" s="1" t="s">
        <v>26</v>
      </c>
      <c r="H207" s="1">
        <v>1812.66</v>
      </c>
      <c r="I207" s="1">
        <v>2196.3000000000002</v>
      </c>
      <c r="J207" s="1" t="s">
        <v>27</v>
      </c>
      <c r="K207" s="1">
        <v>0.08</v>
      </c>
      <c r="L207" s="1" t="s">
        <v>18</v>
      </c>
      <c r="M207" s="1" t="s">
        <v>19</v>
      </c>
      <c r="N207" s="1">
        <f>SUM(Table3[[#This Row],[Unit_Price]]-Table3[[#This Row],[Unit_Cost]])</f>
        <v>383.6400000000001</v>
      </c>
      <c r="O207" s="7"/>
      <c r="P207" s="7"/>
      <c r="Q207" s="7"/>
      <c r="S207"/>
    </row>
    <row r="208" spans="1:19" x14ac:dyDescent="0.3">
      <c r="A208" s="1">
        <v>1024</v>
      </c>
      <c r="B208" s="2">
        <v>45289</v>
      </c>
      <c r="C208" s="1" t="s">
        <v>32</v>
      </c>
      <c r="D208" s="1" t="s">
        <v>47</v>
      </c>
      <c r="E208" s="1">
        <v>9190.57</v>
      </c>
      <c r="F208" s="1">
        <v>5</v>
      </c>
      <c r="G208" s="1" t="s">
        <v>16</v>
      </c>
      <c r="H208" s="1">
        <v>3417.9</v>
      </c>
      <c r="I208" s="1">
        <v>3714.52</v>
      </c>
      <c r="J208" s="1" t="s">
        <v>17</v>
      </c>
      <c r="K208" s="1">
        <v>0.27</v>
      </c>
      <c r="L208" s="1" t="s">
        <v>28</v>
      </c>
      <c r="M208" s="1" t="s">
        <v>21</v>
      </c>
      <c r="N208" s="1">
        <f>SUM(Table3[[#This Row],[Unit_Price]]-Table3[[#This Row],[Unit_Cost]])</f>
        <v>296.61999999999989</v>
      </c>
      <c r="O208" s="7"/>
      <c r="P208" s="7"/>
      <c r="Q208" s="7"/>
      <c r="S208"/>
    </row>
    <row r="209" spans="1:19" x14ac:dyDescent="0.3">
      <c r="A209" s="1">
        <v>1079</v>
      </c>
      <c r="B209" s="2">
        <v>45144</v>
      </c>
      <c r="C209" s="1" t="s">
        <v>22</v>
      </c>
      <c r="D209" s="1" t="s">
        <v>48</v>
      </c>
      <c r="E209" s="1">
        <v>1107.8599999999999</v>
      </c>
      <c r="F209" s="1">
        <v>45</v>
      </c>
      <c r="G209" s="1" t="s">
        <v>26</v>
      </c>
      <c r="H209" s="1">
        <v>1406.9</v>
      </c>
      <c r="I209" s="1">
        <v>1547.35</v>
      </c>
      <c r="J209" s="1" t="s">
        <v>27</v>
      </c>
      <c r="K209" s="1">
        <v>0.17</v>
      </c>
      <c r="L209" s="1" t="s">
        <v>18</v>
      </c>
      <c r="M209" s="1" t="s">
        <v>21</v>
      </c>
      <c r="N209" s="1">
        <f>SUM(Table3[[#This Row],[Unit_Price]]-Table3[[#This Row],[Unit_Cost]])</f>
        <v>140.44999999999982</v>
      </c>
      <c r="O209" s="7"/>
      <c r="P209" s="7"/>
      <c r="Q209" s="7"/>
      <c r="S209"/>
    </row>
    <row r="210" spans="1:19" x14ac:dyDescent="0.3">
      <c r="A210" s="1">
        <v>1059</v>
      </c>
      <c r="B210" s="2">
        <v>45067</v>
      </c>
      <c r="C210" s="1" t="s">
        <v>33</v>
      </c>
      <c r="D210" s="1" t="s">
        <v>49</v>
      </c>
      <c r="E210" s="1">
        <v>5108.9799999999996</v>
      </c>
      <c r="F210" s="1">
        <v>37</v>
      </c>
      <c r="G210" s="1" t="s">
        <v>31</v>
      </c>
      <c r="H210" s="1">
        <v>4146.99</v>
      </c>
      <c r="I210" s="1">
        <v>4172.3499999999904</v>
      </c>
      <c r="J210" s="1" t="s">
        <v>17</v>
      </c>
      <c r="K210" s="1">
        <v>0.06</v>
      </c>
      <c r="L210" s="1" t="s">
        <v>18</v>
      </c>
      <c r="M210" s="1" t="s">
        <v>21</v>
      </c>
      <c r="N210" s="1">
        <f>SUM(Table3[[#This Row],[Unit_Price]]-Table3[[#This Row],[Unit_Cost]])</f>
        <v>25.359999999990578</v>
      </c>
      <c r="O210" s="7"/>
      <c r="P210" s="7"/>
      <c r="Q210" s="7"/>
      <c r="S210"/>
    </row>
    <row r="211" spans="1:19" x14ac:dyDescent="0.3">
      <c r="A211" s="1">
        <v>1032</v>
      </c>
      <c r="B211" s="2">
        <v>45030</v>
      </c>
      <c r="C211" s="1" t="s">
        <v>22</v>
      </c>
      <c r="D211" s="1" t="s">
        <v>50</v>
      </c>
      <c r="E211" s="1">
        <v>2286.44</v>
      </c>
      <c r="F211" s="1">
        <v>45</v>
      </c>
      <c r="G211" s="1" t="s">
        <v>26</v>
      </c>
      <c r="H211" s="1">
        <v>3712.35</v>
      </c>
      <c r="I211" s="1">
        <v>3780.88</v>
      </c>
      <c r="J211" s="1" t="s">
        <v>27</v>
      </c>
      <c r="K211" s="1">
        <v>7.0000000000000007E-2</v>
      </c>
      <c r="L211" s="1" t="s">
        <v>18</v>
      </c>
      <c r="M211" s="1" t="s">
        <v>21</v>
      </c>
      <c r="N211" s="1">
        <f>SUM(Table3[[#This Row],[Unit_Price]]-Table3[[#This Row],[Unit_Cost]])</f>
        <v>68.5300000000002</v>
      </c>
      <c r="O211" s="7"/>
      <c r="P211" s="7"/>
      <c r="Q211" s="7"/>
      <c r="S211"/>
    </row>
    <row r="212" spans="1:19" x14ac:dyDescent="0.3">
      <c r="A212" s="1">
        <v>1096</v>
      </c>
      <c r="B212" s="2">
        <v>45136</v>
      </c>
      <c r="C212" s="1" t="s">
        <v>29</v>
      </c>
      <c r="D212" s="1" t="s">
        <v>44</v>
      </c>
      <c r="E212" s="1">
        <v>485.41</v>
      </c>
      <c r="F212" s="1">
        <v>38</v>
      </c>
      <c r="G212" s="1" t="s">
        <v>31</v>
      </c>
      <c r="H212" s="1">
        <v>3955.66</v>
      </c>
      <c r="I212" s="1">
        <v>4270.59</v>
      </c>
      <c r="J212" s="1" t="s">
        <v>17</v>
      </c>
      <c r="K212" s="1">
        <v>0.15</v>
      </c>
      <c r="L212" s="1" t="s">
        <v>28</v>
      </c>
      <c r="M212" s="1" t="s">
        <v>19</v>
      </c>
      <c r="N212" s="1">
        <f>SUM(Table3[[#This Row],[Unit_Price]]-Table3[[#This Row],[Unit_Cost]])</f>
        <v>314.93000000000029</v>
      </c>
      <c r="O212" s="7"/>
      <c r="P212" s="7"/>
      <c r="Q212" s="7"/>
      <c r="S212"/>
    </row>
    <row r="213" spans="1:19" x14ac:dyDescent="0.3">
      <c r="A213" s="1">
        <v>1088</v>
      </c>
      <c r="B213" s="2">
        <v>45037</v>
      </c>
      <c r="C213" s="1" t="s">
        <v>29</v>
      </c>
      <c r="D213" s="1" t="s">
        <v>45</v>
      </c>
      <c r="E213" s="1">
        <v>456.59</v>
      </c>
      <c r="F213" s="1">
        <v>29</v>
      </c>
      <c r="G213" s="1" t="s">
        <v>16</v>
      </c>
      <c r="H213" s="1">
        <v>639.58000000000004</v>
      </c>
      <c r="I213" s="1">
        <v>1107.45</v>
      </c>
      <c r="J213" s="1" t="s">
        <v>27</v>
      </c>
      <c r="K213" s="1">
        <v>0.28999999999999998</v>
      </c>
      <c r="L213" s="1" t="s">
        <v>18</v>
      </c>
      <c r="M213" s="1" t="s">
        <v>21</v>
      </c>
      <c r="N213" s="1">
        <f>SUM(Table3[[#This Row],[Unit_Price]]-Table3[[#This Row],[Unit_Cost]])</f>
        <v>467.87</v>
      </c>
      <c r="O213" s="7"/>
      <c r="P213" s="7"/>
      <c r="Q213" s="7"/>
      <c r="S213"/>
    </row>
    <row r="214" spans="1:19" x14ac:dyDescent="0.3">
      <c r="A214" s="1">
        <v>1052</v>
      </c>
      <c r="B214" s="2">
        <v>45030</v>
      </c>
      <c r="C214" s="1" t="s">
        <v>22</v>
      </c>
      <c r="D214" s="1" t="s">
        <v>46</v>
      </c>
      <c r="E214" s="1">
        <v>1834.7</v>
      </c>
      <c r="F214" s="1">
        <v>5</v>
      </c>
      <c r="G214" s="1" t="s">
        <v>16</v>
      </c>
      <c r="H214" s="1">
        <v>745.71</v>
      </c>
      <c r="I214" s="1">
        <v>856.91</v>
      </c>
      <c r="J214" s="1" t="s">
        <v>17</v>
      </c>
      <c r="K214" s="1">
        <v>0.23</v>
      </c>
      <c r="L214" s="1" t="s">
        <v>25</v>
      </c>
      <c r="M214" s="1" t="s">
        <v>21</v>
      </c>
      <c r="N214" s="1">
        <f>SUM(Table3[[#This Row],[Unit_Price]]-Table3[[#This Row],[Unit_Cost]])</f>
        <v>111.19999999999993</v>
      </c>
      <c r="O214" s="7"/>
      <c r="P214" s="7"/>
      <c r="Q214" s="7"/>
      <c r="S214"/>
    </row>
    <row r="215" spans="1:19" x14ac:dyDescent="0.3">
      <c r="A215" s="1">
        <v>1062</v>
      </c>
      <c r="B215" s="2">
        <v>45242</v>
      </c>
      <c r="C215" s="1" t="s">
        <v>32</v>
      </c>
      <c r="D215" s="1" t="s">
        <v>47</v>
      </c>
      <c r="E215" s="1">
        <v>8681.0300000000007</v>
      </c>
      <c r="F215" s="1">
        <v>9</v>
      </c>
      <c r="G215" s="1" t="s">
        <v>31</v>
      </c>
      <c r="H215" s="1">
        <v>1468.05</v>
      </c>
      <c r="I215" s="1">
        <v>1838.21</v>
      </c>
      <c r="J215" s="1" t="s">
        <v>27</v>
      </c>
      <c r="K215" s="1">
        <v>0.15</v>
      </c>
      <c r="L215" s="1" t="s">
        <v>25</v>
      </c>
      <c r="M215" s="1" t="s">
        <v>21</v>
      </c>
      <c r="N215" s="1">
        <f>SUM(Table3[[#This Row],[Unit_Price]]-Table3[[#This Row],[Unit_Cost]])</f>
        <v>370.16000000000008</v>
      </c>
      <c r="O215" s="7"/>
      <c r="P215" s="7"/>
      <c r="Q215" s="7"/>
      <c r="S215"/>
    </row>
    <row r="216" spans="1:19" x14ac:dyDescent="0.3">
      <c r="A216" s="1">
        <v>1058</v>
      </c>
      <c r="B216" s="2">
        <v>45097</v>
      </c>
      <c r="C216" s="1" t="s">
        <v>32</v>
      </c>
      <c r="D216" s="1" t="s">
        <v>48</v>
      </c>
      <c r="E216" s="1">
        <v>2896.54</v>
      </c>
      <c r="F216" s="1">
        <v>48</v>
      </c>
      <c r="G216" s="1" t="s">
        <v>26</v>
      </c>
      <c r="H216" s="1">
        <v>2614.48</v>
      </c>
      <c r="I216" s="1">
        <v>3049.04</v>
      </c>
      <c r="J216" s="1" t="s">
        <v>27</v>
      </c>
      <c r="K216" s="1">
        <v>0.1</v>
      </c>
      <c r="L216" s="1" t="s">
        <v>28</v>
      </c>
      <c r="M216" s="1" t="s">
        <v>21</v>
      </c>
      <c r="N216" s="1">
        <f>SUM(Table3[[#This Row],[Unit_Price]]-Table3[[#This Row],[Unit_Cost]])</f>
        <v>434.55999999999995</v>
      </c>
      <c r="O216" s="7"/>
      <c r="P216" s="7"/>
      <c r="Q216" s="7"/>
      <c r="S216"/>
    </row>
    <row r="217" spans="1:19" x14ac:dyDescent="0.3">
      <c r="A217" s="1">
        <v>1052</v>
      </c>
      <c r="B217" s="2">
        <v>45282</v>
      </c>
      <c r="C217" s="1" t="s">
        <v>29</v>
      </c>
      <c r="D217" s="1" t="s">
        <v>49</v>
      </c>
      <c r="E217" s="1">
        <v>9509.5499999999993</v>
      </c>
      <c r="F217" s="1">
        <v>2</v>
      </c>
      <c r="G217" s="1" t="s">
        <v>16</v>
      </c>
      <c r="H217" s="1">
        <v>3752.68</v>
      </c>
      <c r="I217" s="1">
        <v>4017.91</v>
      </c>
      <c r="J217" s="1" t="s">
        <v>17</v>
      </c>
      <c r="K217" s="1">
        <v>0.16</v>
      </c>
      <c r="L217" s="1" t="s">
        <v>25</v>
      </c>
      <c r="M217" s="1" t="s">
        <v>19</v>
      </c>
      <c r="N217" s="1">
        <f>SUM(Table3[[#This Row],[Unit_Price]]-Table3[[#This Row],[Unit_Cost]])</f>
        <v>265.23</v>
      </c>
      <c r="O217" s="7"/>
      <c r="P217" s="7"/>
      <c r="Q217" s="7"/>
      <c r="S217"/>
    </row>
    <row r="218" spans="1:19" x14ac:dyDescent="0.3">
      <c r="A218" s="1">
        <v>1012</v>
      </c>
      <c r="B218" s="2">
        <v>45250</v>
      </c>
      <c r="C218" s="1" t="s">
        <v>14</v>
      </c>
      <c r="D218" s="1" t="s">
        <v>50</v>
      </c>
      <c r="E218" s="1">
        <v>5858.06</v>
      </c>
      <c r="F218" s="1">
        <v>1</v>
      </c>
      <c r="G218" s="1" t="s">
        <v>24</v>
      </c>
      <c r="H218" s="1">
        <v>4190.83</v>
      </c>
      <c r="I218" s="1">
        <v>4528.7699999999904</v>
      </c>
      <c r="J218" s="1" t="s">
        <v>17</v>
      </c>
      <c r="K218" s="1">
        <v>0.22</v>
      </c>
      <c r="L218" s="1" t="s">
        <v>25</v>
      </c>
      <c r="M218" s="1" t="s">
        <v>19</v>
      </c>
      <c r="N218" s="1">
        <f>SUM(Table3[[#This Row],[Unit_Price]]-Table3[[#This Row],[Unit_Cost]])</f>
        <v>337.9399999999905</v>
      </c>
      <c r="O218" s="7"/>
      <c r="P218" s="7"/>
      <c r="Q218" s="7"/>
      <c r="S218"/>
    </row>
    <row r="219" spans="1:19" x14ac:dyDescent="0.3">
      <c r="A219" s="1">
        <v>1039</v>
      </c>
      <c r="B219" s="2">
        <v>45059</v>
      </c>
      <c r="C219" s="1" t="s">
        <v>32</v>
      </c>
      <c r="D219" s="1" t="s">
        <v>44</v>
      </c>
      <c r="E219" s="1">
        <v>4422.4799999999996</v>
      </c>
      <c r="F219" s="1">
        <v>40</v>
      </c>
      <c r="G219" s="1" t="s">
        <v>16</v>
      </c>
      <c r="H219" s="1">
        <v>3536.46</v>
      </c>
      <c r="I219" s="1">
        <v>3945.82</v>
      </c>
      <c r="J219" s="1" t="s">
        <v>27</v>
      </c>
      <c r="K219" s="1">
        <v>0.24</v>
      </c>
      <c r="L219" s="1" t="s">
        <v>25</v>
      </c>
      <c r="M219" s="1" t="s">
        <v>19</v>
      </c>
      <c r="N219" s="1">
        <f>SUM(Table3[[#This Row],[Unit_Price]]-Table3[[#This Row],[Unit_Cost]])</f>
        <v>409.36000000000013</v>
      </c>
      <c r="O219" s="7"/>
      <c r="P219" s="7"/>
      <c r="Q219" s="7"/>
      <c r="S219"/>
    </row>
    <row r="220" spans="1:19" x14ac:dyDescent="0.3">
      <c r="A220" s="1">
        <v>1002</v>
      </c>
      <c r="B220" s="2">
        <v>45219</v>
      </c>
      <c r="C220" s="1" t="s">
        <v>22</v>
      </c>
      <c r="D220" s="1" t="s">
        <v>45</v>
      </c>
      <c r="E220" s="1">
        <v>5842.88</v>
      </c>
      <c r="F220" s="1">
        <v>30</v>
      </c>
      <c r="G220" s="1" t="s">
        <v>26</v>
      </c>
      <c r="H220" s="1">
        <v>4646.55</v>
      </c>
      <c r="I220" s="1">
        <v>4784.28</v>
      </c>
      <c r="J220" s="1" t="s">
        <v>17</v>
      </c>
      <c r="K220" s="1">
        <v>0.1</v>
      </c>
      <c r="L220" s="1" t="s">
        <v>28</v>
      </c>
      <c r="M220" s="1" t="s">
        <v>21</v>
      </c>
      <c r="N220" s="1">
        <f>SUM(Table3[[#This Row],[Unit_Price]]-Table3[[#This Row],[Unit_Cost]])</f>
        <v>137.72999999999956</v>
      </c>
      <c r="O220" s="7"/>
      <c r="P220" s="7"/>
      <c r="Q220" s="7"/>
      <c r="S220"/>
    </row>
    <row r="221" spans="1:19" x14ac:dyDescent="0.3">
      <c r="A221" s="1">
        <v>1003</v>
      </c>
      <c r="B221" s="2">
        <v>45254</v>
      </c>
      <c r="C221" s="1" t="s">
        <v>32</v>
      </c>
      <c r="D221" s="1" t="s">
        <v>46</v>
      </c>
      <c r="E221" s="1">
        <v>5215.3100000000004</v>
      </c>
      <c r="F221" s="1">
        <v>11</v>
      </c>
      <c r="G221" s="1" t="s">
        <v>24</v>
      </c>
      <c r="H221" s="1">
        <v>3706.78</v>
      </c>
      <c r="I221" s="1">
        <v>3862.26</v>
      </c>
      <c r="J221" s="1" t="s">
        <v>27</v>
      </c>
      <c r="K221" s="1">
        <v>0.22</v>
      </c>
      <c r="L221" s="1" t="s">
        <v>28</v>
      </c>
      <c r="M221" s="1" t="s">
        <v>21</v>
      </c>
      <c r="N221" s="1">
        <f>SUM(Table3[[#This Row],[Unit_Price]]-Table3[[#This Row],[Unit_Cost]])</f>
        <v>155.48000000000002</v>
      </c>
      <c r="O221" s="7"/>
      <c r="P221" s="7"/>
      <c r="Q221" s="7"/>
      <c r="S221"/>
    </row>
    <row r="222" spans="1:19" x14ac:dyDescent="0.3">
      <c r="A222" s="1">
        <v>1056</v>
      </c>
      <c r="B222" s="2">
        <v>45053</v>
      </c>
      <c r="C222" s="1" t="s">
        <v>22</v>
      </c>
      <c r="D222" s="1" t="s">
        <v>47</v>
      </c>
      <c r="E222" s="1">
        <v>7611.88</v>
      </c>
      <c r="F222" s="1">
        <v>28</v>
      </c>
      <c r="G222" s="1" t="s">
        <v>26</v>
      </c>
      <c r="H222" s="1">
        <v>1566.03</v>
      </c>
      <c r="I222" s="1">
        <v>1576.34</v>
      </c>
      <c r="J222" s="1" t="s">
        <v>17</v>
      </c>
      <c r="K222" s="1">
        <v>0.2</v>
      </c>
      <c r="L222" s="1" t="s">
        <v>25</v>
      </c>
      <c r="M222" s="1" t="s">
        <v>19</v>
      </c>
      <c r="N222" s="1">
        <f>SUM(Table3[[#This Row],[Unit_Price]]-Table3[[#This Row],[Unit_Cost]])</f>
        <v>10.309999999999945</v>
      </c>
      <c r="O222" s="7"/>
      <c r="P222" s="7"/>
      <c r="Q222" s="7"/>
      <c r="S222"/>
    </row>
    <row r="223" spans="1:19" x14ac:dyDescent="0.3">
      <c r="A223" s="1">
        <v>1081</v>
      </c>
      <c r="B223" s="2">
        <v>45032</v>
      </c>
      <c r="C223" s="1" t="s">
        <v>29</v>
      </c>
      <c r="D223" s="1" t="s">
        <v>48</v>
      </c>
      <c r="E223" s="1">
        <v>2896.71</v>
      </c>
      <c r="F223" s="1">
        <v>44</v>
      </c>
      <c r="G223" s="1" t="s">
        <v>31</v>
      </c>
      <c r="H223" s="1">
        <v>1362.15</v>
      </c>
      <c r="I223" s="1">
        <v>1844.07</v>
      </c>
      <c r="J223" s="1" t="s">
        <v>27</v>
      </c>
      <c r="K223" s="1">
        <v>0.28999999999999998</v>
      </c>
      <c r="L223" s="1" t="s">
        <v>28</v>
      </c>
      <c r="M223" s="1" t="s">
        <v>19</v>
      </c>
      <c r="N223" s="1">
        <f>SUM(Table3[[#This Row],[Unit_Price]]-Table3[[#This Row],[Unit_Cost]])</f>
        <v>481.91999999999985</v>
      </c>
      <c r="O223" s="7"/>
      <c r="P223" s="7"/>
      <c r="Q223" s="7"/>
      <c r="S223"/>
    </row>
    <row r="224" spans="1:19" x14ac:dyDescent="0.3">
      <c r="A224" s="1">
        <v>1059</v>
      </c>
      <c r="B224" s="2">
        <v>45018</v>
      </c>
      <c r="C224" s="1" t="s">
        <v>32</v>
      </c>
      <c r="D224" s="1" t="s">
        <v>49</v>
      </c>
      <c r="E224" s="1">
        <v>3595.2</v>
      </c>
      <c r="F224" s="1">
        <v>12</v>
      </c>
      <c r="G224" s="1" t="s">
        <v>24</v>
      </c>
      <c r="H224" s="1">
        <v>3496.15</v>
      </c>
      <c r="I224" s="1">
        <v>3955.75</v>
      </c>
      <c r="J224" s="1" t="s">
        <v>17</v>
      </c>
      <c r="K224" s="1">
        <v>0.28000000000000003</v>
      </c>
      <c r="L224" s="1" t="s">
        <v>18</v>
      </c>
      <c r="M224" s="1" t="s">
        <v>21</v>
      </c>
      <c r="N224" s="1">
        <f>SUM(Table3[[#This Row],[Unit_Price]]-Table3[[#This Row],[Unit_Cost]])</f>
        <v>459.59999999999991</v>
      </c>
      <c r="O224" s="7"/>
      <c r="P224" s="7"/>
      <c r="Q224" s="7"/>
      <c r="S224"/>
    </row>
    <row r="225" spans="1:19" x14ac:dyDescent="0.3">
      <c r="A225" s="1">
        <v>1002</v>
      </c>
      <c r="B225" s="2">
        <v>45213</v>
      </c>
      <c r="C225" s="1" t="s">
        <v>22</v>
      </c>
      <c r="D225" s="1" t="s">
        <v>50</v>
      </c>
      <c r="E225" s="1">
        <v>8951.5300000000007</v>
      </c>
      <c r="F225" s="1">
        <v>39</v>
      </c>
      <c r="G225" s="1" t="s">
        <v>26</v>
      </c>
      <c r="H225" s="1">
        <v>1004.71</v>
      </c>
      <c r="I225" s="1">
        <v>1389.35</v>
      </c>
      <c r="J225" s="1" t="s">
        <v>27</v>
      </c>
      <c r="K225" s="1">
        <v>0.24</v>
      </c>
      <c r="L225" s="1" t="s">
        <v>25</v>
      </c>
      <c r="M225" s="1" t="s">
        <v>19</v>
      </c>
      <c r="N225" s="1">
        <f>SUM(Table3[[#This Row],[Unit_Price]]-Table3[[#This Row],[Unit_Cost]])</f>
        <v>384.63999999999987</v>
      </c>
      <c r="O225" s="7"/>
      <c r="P225" s="7"/>
      <c r="Q225" s="7"/>
      <c r="S225"/>
    </row>
    <row r="226" spans="1:19" x14ac:dyDescent="0.3">
      <c r="A226" s="1">
        <v>1002</v>
      </c>
      <c r="B226" s="2">
        <v>44977</v>
      </c>
      <c r="C226" s="1" t="s">
        <v>29</v>
      </c>
      <c r="D226" s="1" t="s">
        <v>44</v>
      </c>
      <c r="E226" s="1">
        <v>9469.92</v>
      </c>
      <c r="F226" s="1">
        <v>26</v>
      </c>
      <c r="G226" s="1" t="s">
        <v>24</v>
      </c>
      <c r="H226" s="1">
        <v>508.94</v>
      </c>
      <c r="I226" s="1">
        <v>557.69000000000005</v>
      </c>
      <c r="J226" s="1" t="s">
        <v>27</v>
      </c>
      <c r="K226" s="1">
        <v>0.22</v>
      </c>
      <c r="L226" s="1" t="s">
        <v>28</v>
      </c>
      <c r="M226" s="1" t="s">
        <v>21</v>
      </c>
      <c r="N226" s="1">
        <f>SUM(Table3[[#This Row],[Unit_Price]]-Table3[[#This Row],[Unit_Cost]])</f>
        <v>48.750000000000057</v>
      </c>
      <c r="O226" s="7"/>
      <c r="P226" s="7"/>
      <c r="Q226" s="7"/>
      <c r="S226"/>
    </row>
    <row r="227" spans="1:19" x14ac:dyDescent="0.3">
      <c r="A227" s="1">
        <v>1092</v>
      </c>
      <c r="B227" s="2">
        <v>44955</v>
      </c>
      <c r="C227" s="1" t="s">
        <v>14</v>
      </c>
      <c r="D227" s="1" t="s">
        <v>45</v>
      </c>
      <c r="E227" s="1">
        <v>8936.33</v>
      </c>
      <c r="F227" s="1">
        <v>13</v>
      </c>
      <c r="G227" s="1" t="s">
        <v>26</v>
      </c>
      <c r="H227" s="1">
        <v>2684.5</v>
      </c>
      <c r="I227" s="1">
        <v>2913.78</v>
      </c>
      <c r="J227" s="1" t="s">
        <v>27</v>
      </c>
      <c r="K227" s="1">
        <v>0.08</v>
      </c>
      <c r="L227" s="1" t="s">
        <v>28</v>
      </c>
      <c r="M227" s="1" t="s">
        <v>21</v>
      </c>
      <c r="N227" s="1">
        <f>SUM(Table3[[#This Row],[Unit_Price]]-Table3[[#This Row],[Unit_Cost]])</f>
        <v>229.2800000000002</v>
      </c>
      <c r="O227" s="7"/>
      <c r="P227" s="7"/>
      <c r="Q227" s="7"/>
      <c r="S227"/>
    </row>
    <row r="228" spans="1:19" x14ac:dyDescent="0.3">
      <c r="A228" s="1">
        <v>1054</v>
      </c>
      <c r="B228" s="2">
        <v>45222</v>
      </c>
      <c r="C228" s="1" t="s">
        <v>22</v>
      </c>
      <c r="D228" s="1" t="s">
        <v>46</v>
      </c>
      <c r="E228" s="1">
        <v>4252.54</v>
      </c>
      <c r="F228" s="1">
        <v>8</v>
      </c>
      <c r="G228" s="1" t="s">
        <v>24</v>
      </c>
      <c r="H228" s="1">
        <v>4117.13</v>
      </c>
      <c r="I228" s="1">
        <v>4177.0600000000004</v>
      </c>
      <c r="J228" s="1" t="s">
        <v>17</v>
      </c>
      <c r="K228" s="1">
        <v>0.25</v>
      </c>
      <c r="L228" s="1" t="s">
        <v>25</v>
      </c>
      <c r="M228" s="1" t="s">
        <v>21</v>
      </c>
      <c r="N228" s="1">
        <f>SUM(Table3[[#This Row],[Unit_Price]]-Table3[[#This Row],[Unit_Cost]])</f>
        <v>59.930000000000291</v>
      </c>
      <c r="O228" s="7"/>
      <c r="P228" s="7"/>
      <c r="Q228" s="7"/>
      <c r="S228"/>
    </row>
    <row r="229" spans="1:19" x14ac:dyDescent="0.3">
      <c r="A229" s="1">
        <v>1087</v>
      </c>
      <c r="B229" s="2">
        <v>45223</v>
      </c>
      <c r="C229" s="1" t="s">
        <v>14</v>
      </c>
      <c r="D229" s="1" t="s">
        <v>47</v>
      </c>
      <c r="E229" s="1">
        <v>7825.62</v>
      </c>
      <c r="F229" s="1">
        <v>28</v>
      </c>
      <c r="G229" s="1" t="s">
        <v>26</v>
      </c>
      <c r="H229" s="1">
        <v>551.83000000000004</v>
      </c>
      <c r="I229" s="1">
        <v>569.63</v>
      </c>
      <c r="J229" s="1" t="s">
        <v>27</v>
      </c>
      <c r="K229" s="1">
        <v>0.13</v>
      </c>
      <c r="L229" s="1" t="s">
        <v>28</v>
      </c>
      <c r="M229" s="1" t="s">
        <v>21</v>
      </c>
      <c r="N229" s="1">
        <f>SUM(Table3[[#This Row],[Unit_Price]]-Table3[[#This Row],[Unit_Cost]])</f>
        <v>17.799999999999955</v>
      </c>
      <c r="O229" s="7"/>
      <c r="P229" s="7"/>
      <c r="Q229" s="7"/>
      <c r="S229"/>
    </row>
    <row r="230" spans="1:19" x14ac:dyDescent="0.3">
      <c r="A230" s="1">
        <v>1096</v>
      </c>
      <c r="B230" s="2">
        <v>45140</v>
      </c>
      <c r="C230" s="1" t="s">
        <v>14</v>
      </c>
      <c r="D230" s="1" t="s">
        <v>48</v>
      </c>
      <c r="E230" s="1">
        <v>4815.72</v>
      </c>
      <c r="F230" s="1">
        <v>30</v>
      </c>
      <c r="G230" s="1" t="s">
        <v>31</v>
      </c>
      <c r="H230" s="1">
        <v>3969.86</v>
      </c>
      <c r="I230" s="1">
        <v>4281.79</v>
      </c>
      <c r="J230" s="1" t="s">
        <v>17</v>
      </c>
      <c r="K230" s="1">
        <v>0.08</v>
      </c>
      <c r="L230" s="1" t="s">
        <v>25</v>
      </c>
      <c r="M230" s="1" t="s">
        <v>21</v>
      </c>
      <c r="N230" s="1">
        <f>SUM(Table3[[#This Row],[Unit_Price]]-Table3[[#This Row],[Unit_Cost]])</f>
        <v>311.92999999999984</v>
      </c>
      <c r="O230" s="7"/>
      <c r="P230" s="7"/>
      <c r="Q230" s="7"/>
      <c r="S230"/>
    </row>
    <row r="231" spans="1:19" x14ac:dyDescent="0.3">
      <c r="A231" s="1">
        <v>1097</v>
      </c>
      <c r="B231" s="2">
        <v>45193</v>
      </c>
      <c r="C231" s="1" t="s">
        <v>33</v>
      </c>
      <c r="D231" s="1" t="s">
        <v>49</v>
      </c>
      <c r="E231" s="1">
        <v>5025.6400000000003</v>
      </c>
      <c r="F231" s="1">
        <v>9</v>
      </c>
      <c r="G231" s="1" t="s">
        <v>24</v>
      </c>
      <c r="H231" s="1">
        <v>4067.28</v>
      </c>
      <c r="I231" s="1">
        <v>4548.09</v>
      </c>
      <c r="J231" s="1" t="s">
        <v>17</v>
      </c>
      <c r="K231" s="1">
        <v>0.12</v>
      </c>
      <c r="L231" s="1" t="s">
        <v>28</v>
      </c>
      <c r="M231" s="1" t="s">
        <v>21</v>
      </c>
      <c r="N231" s="1">
        <f>SUM(Table3[[#This Row],[Unit_Price]]-Table3[[#This Row],[Unit_Cost]])</f>
        <v>480.80999999999995</v>
      </c>
      <c r="O231" s="7"/>
      <c r="P231" s="7"/>
      <c r="Q231" s="7"/>
      <c r="S231"/>
    </row>
    <row r="232" spans="1:19" x14ac:dyDescent="0.3">
      <c r="A232" s="1">
        <v>1001</v>
      </c>
      <c r="B232" s="2">
        <v>45183</v>
      </c>
      <c r="C232" s="1" t="s">
        <v>32</v>
      </c>
      <c r="D232" s="1" t="s">
        <v>50</v>
      </c>
      <c r="E232" s="1">
        <v>2126.33</v>
      </c>
      <c r="F232" s="1">
        <v>39</v>
      </c>
      <c r="G232" s="1" t="s">
        <v>24</v>
      </c>
      <c r="H232" s="1">
        <v>2437.2600000000002</v>
      </c>
      <c r="I232" s="1">
        <v>2889.67</v>
      </c>
      <c r="J232" s="1" t="s">
        <v>17</v>
      </c>
      <c r="K232" s="1">
        <v>0.25</v>
      </c>
      <c r="L232" s="1" t="s">
        <v>18</v>
      </c>
      <c r="M232" s="1" t="s">
        <v>19</v>
      </c>
      <c r="N232" s="1">
        <f>SUM(Table3[[#This Row],[Unit_Price]]-Table3[[#This Row],[Unit_Cost]])</f>
        <v>452.40999999999985</v>
      </c>
      <c r="O232" s="7"/>
      <c r="P232" s="7"/>
      <c r="Q232" s="7"/>
      <c r="S232"/>
    </row>
    <row r="233" spans="1:19" x14ac:dyDescent="0.3">
      <c r="A233" s="1">
        <v>1019</v>
      </c>
      <c r="B233" s="2">
        <v>45228</v>
      </c>
      <c r="C233" s="1" t="s">
        <v>22</v>
      </c>
      <c r="D233" s="1" t="s">
        <v>44</v>
      </c>
      <c r="E233" s="1">
        <v>5952.19</v>
      </c>
      <c r="F233" s="1">
        <v>31</v>
      </c>
      <c r="G233" s="1" t="s">
        <v>24</v>
      </c>
      <c r="H233" s="1">
        <v>333.69</v>
      </c>
      <c r="I233" s="1">
        <v>685.1</v>
      </c>
      <c r="J233" s="1" t="s">
        <v>27</v>
      </c>
      <c r="K233" s="1">
        <v>0.04</v>
      </c>
      <c r="L233" s="1" t="s">
        <v>25</v>
      </c>
      <c r="M233" s="1" t="s">
        <v>19</v>
      </c>
      <c r="N233" s="1">
        <f>SUM(Table3[[#This Row],[Unit_Price]]-Table3[[#This Row],[Unit_Cost]])</f>
        <v>351.41</v>
      </c>
      <c r="O233" s="7"/>
      <c r="P233" s="7"/>
      <c r="Q233" s="7"/>
      <c r="S233"/>
    </row>
    <row r="234" spans="1:19" x14ac:dyDescent="0.3">
      <c r="A234" s="1">
        <v>1002</v>
      </c>
      <c r="B234" s="2">
        <v>45027</v>
      </c>
      <c r="C234" s="1" t="s">
        <v>14</v>
      </c>
      <c r="D234" s="1" t="s">
        <v>45</v>
      </c>
      <c r="E234" s="1">
        <v>1942.75</v>
      </c>
      <c r="F234" s="1">
        <v>21</v>
      </c>
      <c r="G234" s="1" t="s">
        <v>24</v>
      </c>
      <c r="H234" s="1">
        <v>914.22</v>
      </c>
      <c r="I234" s="1">
        <v>971.57</v>
      </c>
      <c r="J234" s="1" t="s">
        <v>17</v>
      </c>
      <c r="K234" s="1">
        <v>0.14000000000000001</v>
      </c>
      <c r="L234" s="1" t="s">
        <v>18</v>
      </c>
      <c r="M234" s="1" t="s">
        <v>19</v>
      </c>
      <c r="N234" s="1">
        <f>SUM(Table3[[#This Row],[Unit_Price]]-Table3[[#This Row],[Unit_Cost]])</f>
        <v>57.350000000000023</v>
      </c>
      <c r="O234" s="7"/>
      <c r="P234" s="7"/>
      <c r="Q234" s="7"/>
      <c r="S234"/>
    </row>
    <row r="235" spans="1:19" x14ac:dyDescent="0.3">
      <c r="A235" s="1">
        <v>1053</v>
      </c>
      <c r="B235" s="2">
        <v>45272</v>
      </c>
      <c r="C235" s="1" t="s">
        <v>33</v>
      </c>
      <c r="D235" s="1" t="s">
        <v>46</v>
      </c>
      <c r="E235" s="1">
        <v>3382.49</v>
      </c>
      <c r="F235" s="1">
        <v>47</v>
      </c>
      <c r="G235" s="1" t="s">
        <v>31</v>
      </c>
      <c r="H235" s="1">
        <v>3551.76</v>
      </c>
      <c r="I235" s="1">
        <v>3696.1</v>
      </c>
      <c r="J235" s="1" t="s">
        <v>17</v>
      </c>
      <c r="K235" s="1">
        <v>0.15</v>
      </c>
      <c r="L235" s="1" t="s">
        <v>25</v>
      </c>
      <c r="M235" s="1" t="s">
        <v>21</v>
      </c>
      <c r="N235" s="1">
        <f>SUM(Table3[[#This Row],[Unit_Price]]-Table3[[#This Row],[Unit_Cost]])</f>
        <v>144.33999999999969</v>
      </c>
      <c r="O235" s="7"/>
      <c r="P235" s="7"/>
      <c r="Q235" s="7"/>
      <c r="S235"/>
    </row>
    <row r="236" spans="1:19" x14ac:dyDescent="0.3">
      <c r="A236" s="1">
        <v>1044</v>
      </c>
      <c r="B236" s="2">
        <v>45036</v>
      </c>
      <c r="C236" s="1" t="s">
        <v>29</v>
      </c>
      <c r="D236" s="1" t="s">
        <v>47</v>
      </c>
      <c r="E236" s="1">
        <v>8564.7999999999993</v>
      </c>
      <c r="F236" s="1">
        <v>34</v>
      </c>
      <c r="G236" s="1" t="s">
        <v>24</v>
      </c>
      <c r="H236" s="1">
        <v>3573.3</v>
      </c>
      <c r="I236" s="1">
        <v>3740.13</v>
      </c>
      <c r="J236" s="1" t="s">
        <v>17</v>
      </c>
      <c r="K236" s="1">
        <v>0.01</v>
      </c>
      <c r="L236" s="1" t="s">
        <v>28</v>
      </c>
      <c r="M236" s="1" t="s">
        <v>19</v>
      </c>
      <c r="N236" s="1">
        <f>SUM(Table3[[#This Row],[Unit_Price]]-Table3[[#This Row],[Unit_Cost]])</f>
        <v>166.82999999999993</v>
      </c>
      <c r="O236" s="7"/>
      <c r="P236" s="7"/>
      <c r="Q236" s="7"/>
      <c r="S236"/>
    </row>
    <row r="237" spans="1:19" x14ac:dyDescent="0.3">
      <c r="A237" s="1">
        <v>1090</v>
      </c>
      <c r="B237" s="2">
        <v>45108</v>
      </c>
      <c r="C237" s="1" t="s">
        <v>22</v>
      </c>
      <c r="D237" s="1" t="s">
        <v>48</v>
      </c>
      <c r="E237" s="1">
        <v>2150.0500000000002</v>
      </c>
      <c r="F237" s="1">
        <v>31</v>
      </c>
      <c r="G237" s="1" t="s">
        <v>16</v>
      </c>
      <c r="H237" s="1">
        <v>4496.8599999999997</v>
      </c>
      <c r="I237" s="1">
        <v>4880.7999999999902</v>
      </c>
      <c r="J237" s="1" t="s">
        <v>27</v>
      </c>
      <c r="K237" s="1">
        <v>0.06</v>
      </c>
      <c r="L237" s="1" t="s">
        <v>18</v>
      </c>
      <c r="M237" s="1" t="s">
        <v>21</v>
      </c>
      <c r="N237" s="1">
        <f>SUM(Table3[[#This Row],[Unit_Price]]-Table3[[#This Row],[Unit_Cost]])</f>
        <v>383.9399999999905</v>
      </c>
      <c r="O237" s="7"/>
      <c r="P237" s="7"/>
      <c r="Q237" s="7"/>
      <c r="S237"/>
    </row>
    <row r="238" spans="1:19" x14ac:dyDescent="0.3">
      <c r="A238" s="1">
        <v>1032</v>
      </c>
      <c r="B238" s="2">
        <v>45239</v>
      </c>
      <c r="C238" s="1" t="s">
        <v>14</v>
      </c>
      <c r="D238" s="1" t="s">
        <v>49</v>
      </c>
      <c r="E238" s="1">
        <v>804.47</v>
      </c>
      <c r="F238" s="1">
        <v>25</v>
      </c>
      <c r="G238" s="1" t="s">
        <v>31</v>
      </c>
      <c r="H238" s="1">
        <v>2934.3</v>
      </c>
      <c r="I238" s="1">
        <v>3337.4</v>
      </c>
      <c r="J238" s="1" t="s">
        <v>17</v>
      </c>
      <c r="K238" s="1">
        <v>0.25</v>
      </c>
      <c r="L238" s="1" t="s">
        <v>28</v>
      </c>
      <c r="M238" s="1" t="s">
        <v>21</v>
      </c>
      <c r="N238" s="1">
        <f>SUM(Table3[[#This Row],[Unit_Price]]-Table3[[#This Row],[Unit_Cost]])</f>
        <v>403.09999999999991</v>
      </c>
      <c r="O238" s="7"/>
      <c r="P238" s="7"/>
      <c r="Q238" s="7"/>
      <c r="S238"/>
    </row>
    <row r="239" spans="1:19" x14ac:dyDescent="0.3">
      <c r="A239" s="1">
        <v>1070</v>
      </c>
      <c r="B239" s="2">
        <v>44927</v>
      </c>
      <c r="C239" s="1" t="s">
        <v>32</v>
      </c>
      <c r="D239" s="1" t="s">
        <v>50</v>
      </c>
      <c r="E239" s="1">
        <v>783.18</v>
      </c>
      <c r="F239" s="1">
        <v>12</v>
      </c>
      <c r="G239" s="1" t="s">
        <v>16</v>
      </c>
      <c r="H239" s="1">
        <v>664.33</v>
      </c>
      <c r="I239" s="1">
        <v>863.03</v>
      </c>
      <c r="J239" s="1" t="s">
        <v>17</v>
      </c>
      <c r="K239" s="1">
        <v>0.25</v>
      </c>
      <c r="L239" s="1" t="s">
        <v>25</v>
      </c>
      <c r="M239" s="1" t="s">
        <v>21</v>
      </c>
      <c r="N239" s="1">
        <f>SUM(Table3[[#This Row],[Unit_Price]]-Table3[[#This Row],[Unit_Cost]])</f>
        <v>198.69999999999993</v>
      </c>
      <c r="O239" s="7"/>
      <c r="P239" s="7"/>
      <c r="Q239" s="7"/>
      <c r="S239"/>
    </row>
    <row r="240" spans="1:19" x14ac:dyDescent="0.3">
      <c r="A240" s="1">
        <v>1032</v>
      </c>
      <c r="B240" s="2">
        <v>45245</v>
      </c>
      <c r="C240" s="1" t="s">
        <v>33</v>
      </c>
      <c r="D240" s="1" t="s">
        <v>44</v>
      </c>
      <c r="E240" s="1">
        <v>9413.77</v>
      </c>
      <c r="F240" s="1">
        <v>1</v>
      </c>
      <c r="G240" s="1" t="s">
        <v>24</v>
      </c>
      <c r="H240" s="1">
        <v>651</v>
      </c>
      <c r="I240" s="1">
        <v>865.76</v>
      </c>
      <c r="J240" s="1" t="s">
        <v>17</v>
      </c>
      <c r="K240" s="1">
        <v>0.09</v>
      </c>
      <c r="L240" s="1" t="s">
        <v>25</v>
      </c>
      <c r="M240" s="1" t="s">
        <v>21</v>
      </c>
      <c r="N240" s="1">
        <f>SUM(Table3[[#This Row],[Unit_Price]]-Table3[[#This Row],[Unit_Cost]])</f>
        <v>214.76</v>
      </c>
      <c r="O240" s="7"/>
      <c r="P240" s="7"/>
      <c r="Q240" s="7"/>
      <c r="S240"/>
    </row>
    <row r="241" spans="1:19" x14ac:dyDescent="0.3">
      <c r="A241" s="1">
        <v>1068</v>
      </c>
      <c r="B241" s="2">
        <v>44981</v>
      </c>
      <c r="C241" s="1" t="s">
        <v>14</v>
      </c>
      <c r="D241" s="1" t="s">
        <v>45</v>
      </c>
      <c r="E241" s="1">
        <v>5118.51</v>
      </c>
      <c r="F241" s="1">
        <v>22</v>
      </c>
      <c r="G241" s="1" t="s">
        <v>26</v>
      </c>
      <c r="H241" s="1">
        <v>3619.61</v>
      </c>
      <c r="I241" s="1">
        <v>3651.42</v>
      </c>
      <c r="J241" s="1" t="s">
        <v>17</v>
      </c>
      <c r="K241" s="1">
        <v>0.26</v>
      </c>
      <c r="L241" s="1" t="s">
        <v>25</v>
      </c>
      <c r="M241" s="1" t="s">
        <v>19</v>
      </c>
      <c r="N241" s="1">
        <f>SUM(Table3[[#This Row],[Unit_Price]]-Table3[[#This Row],[Unit_Cost]])</f>
        <v>31.809999999999945</v>
      </c>
      <c r="O241" s="7"/>
      <c r="P241" s="7"/>
      <c r="Q241" s="7"/>
      <c r="S241"/>
    </row>
    <row r="242" spans="1:19" x14ac:dyDescent="0.3">
      <c r="A242" s="1">
        <v>1055</v>
      </c>
      <c r="B242" s="2">
        <v>45075</v>
      </c>
      <c r="C242" s="1" t="s">
        <v>32</v>
      </c>
      <c r="D242" s="1" t="s">
        <v>46</v>
      </c>
      <c r="E242" s="1">
        <v>4153.18</v>
      </c>
      <c r="F242" s="1">
        <v>40</v>
      </c>
      <c r="G242" s="1" t="s">
        <v>16</v>
      </c>
      <c r="H242" s="1">
        <v>959.73</v>
      </c>
      <c r="I242" s="1">
        <v>1111.4100000000001</v>
      </c>
      <c r="J242" s="1" t="s">
        <v>27</v>
      </c>
      <c r="K242" s="1">
        <v>0.23</v>
      </c>
      <c r="L242" s="1" t="s">
        <v>25</v>
      </c>
      <c r="M242" s="1" t="s">
        <v>19</v>
      </c>
      <c r="N242" s="1">
        <f>SUM(Table3[[#This Row],[Unit_Price]]-Table3[[#This Row],[Unit_Cost]])</f>
        <v>151.68000000000006</v>
      </c>
      <c r="O242" s="7"/>
      <c r="P242" s="7"/>
      <c r="Q242" s="7"/>
      <c r="S242"/>
    </row>
    <row r="243" spans="1:19" x14ac:dyDescent="0.3">
      <c r="A243" s="1">
        <v>1075</v>
      </c>
      <c r="B243" s="2">
        <v>45235</v>
      </c>
      <c r="C243" s="1" t="s">
        <v>14</v>
      </c>
      <c r="D243" s="1" t="s">
        <v>47</v>
      </c>
      <c r="E243" s="1">
        <v>8127.7</v>
      </c>
      <c r="F243" s="1">
        <v>37</v>
      </c>
      <c r="G243" s="1" t="s">
        <v>24</v>
      </c>
      <c r="H243" s="1">
        <v>1675.51</v>
      </c>
      <c r="I243" s="1">
        <v>1906.6399999999901</v>
      </c>
      <c r="J243" s="1" t="s">
        <v>27</v>
      </c>
      <c r="K243" s="1">
        <v>0.13</v>
      </c>
      <c r="L243" s="1" t="s">
        <v>25</v>
      </c>
      <c r="M243" s="1" t="s">
        <v>19</v>
      </c>
      <c r="N243" s="1">
        <f>SUM(Table3[[#This Row],[Unit_Price]]-Table3[[#This Row],[Unit_Cost]])</f>
        <v>231.1299999999901</v>
      </c>
      <c r="O243" s="7"/>
      <c r="P243" s="7"/>
      <c r="Q243" s="7"/>
      <c r="S243"/>
    </row>
    <row r="244" spans="1:19" x14ac:dyDescent="0.3">
      <c r="A244" s="1">
        <v>1056</v>
      </c>
      <c r="B244" s="2">
        <v>45063</v>
      </c>
      <c r="C244" s="1" t="s">
        <v>22</v>
      </c>
      <c r="D244" s="1" t="s">
        <v>48</v>
      </c>
      <c r="E244" s="1">
        <v>8374.68</v>
      </c>
      <c r="F244" s="1">
        <v>47</v>
      </c>
      <c r="G244" s="1" t="s">
        <v>16</v>
      </c>
      <c r="H244" s="1">
        <v>2461.6999999999998</v>
      </c>
      <c r="I244" s="1">
        <v>2529.02</v>
      </c>
      <c r="J244" s="1" t="s">
        <v>17</v>
      </c>
      <c r="K244" s="1">
        <v>0.22</v>
      </c>
      <c r="L244" s="1" t="s">
        <v>18</v>
      </c>
      <c r="M244" s="1" t="s">
        <v>21</v>
      </c>
      <c r="N244" s="1">
        <f>SUM(Table3[[#This Row],[Unit_Price]]-Table3[[#This Row],[Unit_Cost]])</f>
        <v>67.320000000000164</v>
      </c>
      <c r="O244" s="7"/>
      <c r="P244" s="7"/>
      <c r="Q244" s="7"/>
      <c r="S244"/>
    </row>
    <row r="245" spans="1:19" x14ac:dyDescent="0.3">
      <c r="A245" s="1">
        <v>1017</v>
      </c>
      <c r="B245" s="2">
        <v>45128</v>
      </c>
      <c r="C245" s="1" t="s">
        <v>22</v>
      </c>
      <c r="D245" s="1" t="s">
        <v>49</v>
      </c>
      <c r="E245" s="1">
        <v>3388.69</v>
      </c>
      <c r="F245" s="1">
        <v>1</v>
      </c>
      <c r="G245" s="1" t="s">
        <v>24</v>
      </c>
      <c r="H245" s="1">
        <v>172.59</v>
      </c>
      <c r="I245" s="1">
        <v>404.69</v>
      </c>
      <c r="J245" s="1" t="s">
        <v>17</v>
      </c>
      <c r="K245" s="1">
        <v>0.28999999999999998</v>
      </c>
      <c r="L245" s="1" t="s">
        <v>25</v>
      </c>
      <c r="M245" s="1" t="s">
        <v>19</v>
      </c>
      <c r="N245" s="1">
        <f>SUM(Table3[[#This Row],[Unit_Price]]-Table3[[#This Row],[Unit_Cost]])</f>
        <v>232.1</v>
      </c>
      <c r="O245" s="7"/>
      <c r="P245" s="7"/>
      <c r="Q245" s="7"/>
      <c r="S245"/>
    </row>
    <row r="246" spans="1:19" x14ac:dyDescent="0.3">
      <c r="A246" s="1">
        <v>1038</v>
      </c>
      <c r="B246" s="2">
        <v>45239</v>
      </c>
      <c r="C246" s="1" t="s">
        <v>22</v>
      </c>
      <c r="D246" s="1" t="s">
        <v>50</v>
      </c>
      <c r="E246" s="1">
        <v>6966.82</v>
      </c>
      <c r="F246" s="1">
        <v>1</v>
      </c>
      <c r="G246" s="1" t="s">
        <v>24</v>
      </c>
      <c r="H246" s="1">
        <v>1281.6500000000001</v>
      </c>
      <c r="I246" s="1">
        <v>1709.71</v>
      </c>
      <c r="J246" s="1" t="s">
        <v>17</v>
      </c>
      <c r="K246" s="1">
        <v>0.14000000000000001</v>
      </c>
      <c r="L246" s="1" t="s">
        <v>28</v>
      </c>
      <c r="M246" s="1" t="s">
        <v>19</v>
      </c>
      <c r="N246" s="1">
        <f>SUM(Table3[[#This Row],[Unit_Price]]-Table3[[#This Row],[Unit_Cost]])</f>
        <v>428.05999999999995</v>
      </c>
      <c r="O246" s="7"/>
      <c r="P246" s="7"/>
      <c r="Q246" s="7"/>
      <c r="S246"/>
    </row>
    <row r="247" spans="1:19" x14ac:dyDescent="0.3">
      <c r="A247" s="1">
        <v>1024</v>
      </c>
      <c r="B247" s="2">
        <v>45043</v>
      </c>
      <c r="C247" s="1" t="s">
        <v>33</v>
      </c>
      <c r="D247" s="1" t="s">
        <v>44</v>
      </c>
      <c r="E247" s="1">
        <v>7734.12</v>
      </c>
      <c r="F247" s="1">
        <v>42</v>
      </c>
      <c r="G247" s="1" t="s">
        <v>24</v>
      </c>
      <c r="H247" s="1">
        <v>2069.0500000000002</v>
      </c>
      <c r="I247" s="1">
        <v>2363.9</v>
      </c>
      <c r="J247" s="1" t="s">
        <v>17</v>
      </c>
      <c r="K247" s="1">
        <v>7.0000000000000007E-2</v>
      </c>
      <c r="L247" s="1" t="s">
        <v>18</v>
      </c>
      <c r="M247" s="1" t="s">
        <v>19</v>
      </c>
      <c r="N247" s="1">
        <f>SUM(Table3[[#This Row],[Unit_Price]]-Table3[[#This Row],[Unit_Cost]])</f>
        <v>294.84999999999991</v>
      </c>
      <c r="O247" s="7"/>
      <c r="P247" s="7"/>
      <c r="Q247" s="7"/>
      <c r="S247"/>
    </row>
    <row r="248" spans="1:19" x14ac:dyDescent="0.3">
      <c r="A248" s="1">
        <v>1069</v>
      </c>
      <c r="B248" s="2">
        <v>45080</v>
      </c>
      <c r="C248" s="1" t="s">
        <v>22</v>
      </c>
      <c r="D248" s="1" t="s">
        <v>45</v>
      </c>
      <c r="E248" s="1">
        <v>6581.04</v>
      </c>
      <c r="F248" s="1">
        <v>42</v>
      </c>
      <c r="G248" s="1" t="s">
        <v>26</v>
      </c>
      <c r="H248" s="1">
        <v>1434.2</v>
      </c>
      <c r="I248" s="1">
        <v>1482.88</v>
      </c>
      <c r="J248" s="1" t="s">
        <v>27</v>
      </c>
      <c r="K248" s="1">
        <v>0.28000000000000003</v>
      </c>
      <c r="L248" s="1" t="s">
        <v>28</v>
      </c>
      <c r="M248" s="1" t="s">
        <v>21</v>
      </c>
      <c r="N248" s="1">
        <f>SUM(Table3[[#This Row],[Unit_Price]]-Table3[[#This Row],[Unit_Cost]])</f>
        <v>48.680000000000064</v>
      </c>
      <c r="O248" s="7"/>
      <c r="P248" s="7"/>
      <c r="Q248" s="7"/>
      <c r="S248"/>
    </row>
    <row r="249" spans="1:19" x14ac:dyDescent="0.3">
      <c r="A249" s="1">
        <v>1098</v>
      </c>
      <c r="B249" s="2">
        <v>45217</v>
      </c>
      <c r="C249" s="1" t="s">
        <v>32</v>
      </c>
      <c r="D249" s="1" t="s">
        <v>46</v>
      </c>
      <c r="E249" s="1">
        <v>1600.79</v>
      </c>
      <c r="F249" s="1">
        <v>21</v>
      </c>
      <c r="G249" s="1" t="s">
        <v>16</v>
      </c>
      <c r="H249" s="1">
        <v>725.03</v>
      </c>
      <c r="I249" s="1">
        <v>828.94999999999902</v>
      </c>
      <c r="J249" s="1" t="s">
        <v>27</v>
      </c>
      <c r="K249" s="1">
        <v>0.18</v>
      </c>
      <c r="L249" s="1" t="s">
        <v>25</v>
      </c>
      <c r="M249" s="1" t="s">
        <v>19</v>
      </c>
      <c r="N249" s="1">
        <f>SUM(Table3[[#This Row],[Unit_Price]]-Table3[[#This Row],[Unit_Cost]])</f>
        <v>103.91999999999905</v>
      </c>
      <c r="O249" s="7"/>
      <c r="P249" s="7"/>
      <c r="Q249" s="7"/>
      <c r="S249"/>
    </row>
    <row r="250" spans="1:19" x14ac:dyDescent="0.3">
      <c r="A250" s="1">
        <v>1070</v>
      </c>
      <c r="B250" s="2">
        <v>44989</v>
      </c>
      <c r="C250" s="1" t="s">
        <v>14</v>
      </c>
      <c r="D250" s="1" t="s">
        <v>47</v>
      </c>
      <c r="E250" s="1">
        <v>8771.24</v>
      </c>
      <c r="F250" s="1">
        <v>15</v>
      </c>
      <c r="G250" s="1" t="s">
        <v>31</v>
      </c>
      <c r="H250" s="1">
        <v>3653.66</v>
      </c>
      <c r="I250" s="1">
        <v>3896.19</v>
      </c>
      <c r="J250" s="1" t="s">
        <v>27</v>
      </c>
      <c r="K250" s="1">
        <v>0.03</v>
      </c>
      <c r="L250" s="1" t="s">
        <v>28</v>
      </c>
      <c r="M250" s="1" t="s">
        <v>21</v>
      </c>
      <c r="N250" s="1">
        <f>SUM(Table3[[#This Row],[Unit_Price]]-Table3[[#This Row],[Unit_Cost]])</f>
        <v>242.5300000000002</v>
      </c>
      <c r="O250" s="7"/>
      <c r="P250" s="7"/>
      <c r="Q250" s="7"/>
      <c r="S250"/>
    </row>
    <row r="251" spans="1:19" x14ac:dyDescent="0.3">
      <c r="A251" s="1">
        <v>1086</v>
      </c>
      <c r="B251" s="2">
        <v>45170</v>
      </c>
      <c r="C251" s="1" t="s">
        <v>29</v>
      </c>
      <c r="D251" s="1" t="s">
        <v>48</v>
      </c>
      <c r="E251" s="1">
        <v>5437.04</v>
      </c>
      <c r="F251" s="1">
        <v>17</v>
      </c>
      <c r="G251" s="1" t="s">
        <v>31</v>
      </c>
      <c r="H251" s="1">
        <v>4075.08</v>
      </c>
      <c r="I251" s="1">
        <v>4262.21</v>
      </c>
      <c r="J251" s="1" t="s">
        <v>27</v>
      </c>
      <c r="K251" s="1">
        <v>0.17</v>
      </c>
      <c r="L251" s="1" t="s">
        <v>18</v>
      </c>
      <c r="M251" s="1" t="s">
        <v>19</v>
      </c>
      <c r="N251" s="1">
        <f>SUM(Table3[[#This Row],[Unit_Price]]-Table3[[#This Row],[Unit_Cost]])</f>
        <v>187.13000000000011</v>
      </c>
      <c r="O251" s="7"/>
      <c r="P251" s="7"/>
      <c r="Q251" s="7"/>
      <c r="S251"/>
    </row>
    <row r="252" spans="1:19" x14ac:dyDescent="0.3">
      <c r="A252" s="1">
        <v>1011</v>
      </c>
      <c r="B252" s="2">
        <v>44951</v>
      </c>
      <c r="C252" s="1" t="s">
        <v>32</v>
      </c>
      <c r="D252" s="1" t="s">
        <v>49</v>
      </c>
      <c r="E252" s="1">
        <v>2896.48</v>
      </c>
      <c r="F252" s="1">
        <v>22</v>
      </c>
      <c r="G252" s="1" t="s">
        <v>31</v>
      </c>
      <c r="H252" s="1">
        <v>1324.52</v>
      </c>
      <c r="I252" s="1">
        <v>1510.3</v>
      </c>
      <c r="J252" s="1" t="s">
        <v>17</v>
      </c>
      <c r="K252" s="1">
        <v>0.15</v>
      </c>
      <c r="L252" s="1" t="s">
        <v>18</v>
      </c>
      <c r="M252" s="1" t="s">
        <v>21</v>
      </c>
      <c r="N252" s="1">
        <f>SUM(Table3[[#This Row],[Unit_Price]]-Table3[[#This Row],[Unit_Cost]])</f>
        <v>185.77999999999997</v>
      </c>
      <c r="O252" s="7"/>
      <c r="P252" s="7"/>
      <c r="Q252" s="7"/>
      <c r="S252"/>
    </row>
    <row r="253" spans="1:19" x14ac:dyDescent="0.3">
      <c r="A253" s="1">
        <v>1016</v>
      </c>
      <c r="B253" s="2">
        <v>45016</v>
      </c>
      <c r="C253" s="1" t="s">
        <v>32</v>
      </c>
      <c r="D253" s="1" t="s">
        <v>50</v>
      </c>
      <c r="E253" s="1">
        <v>4309.76</v>
      </c>
      <c r="F253" s="1">
        <v>38</v>
      </c>
      <c r="G253" s="1" t="s">
        <v>31</v>
      </c>
      <c r="H253" s="1">
        <v>3883.38</v>
      </c>
      <c r="I253" s="1">
        <v>4152.72</v>
      </c>
      <c r="J253" s="1" t="s">
        <v>17</v>
      </c>
      <c r="K253" s="1">
        <v>0.26</v>
      </c>
      <c r="L253" s="1" t="s">
        <v>18</v>
      </c>
      <c r="M253" s="1" t="s">
        <v>19</v>
      </c>
      <c r="N253" s="1">
        <f>SUM(Table3[[#This Row],[Unit_Price]]-Table3[[#This Row],[Unit_Cost]])</f>
        <v>269.34000000000015</v>
      </c>
      <c r="O253" s="7"/>
      <c r="P253" s="7"/>
      <c r="Q253" s="7"/>
      <c r="S253"/>
    </row>
    <row r="254" spans="1:19" x14ac:dyDescent="0.3">
      <c r="A254" s="1">
        <v>1097</v>
      </c>
      <c r="B254" s="2">
        <v>45001</v>
      </c>
      <c r="C254" s="1" t="s">
        <v>22</v>
      </c>
      <c r="D254" s="1" t="s">
        <v>44</v>
      </c>
      <c r="E254" s="1">
        <v>471.95</v>
      </c>
      <c r="F254" s="1">
        <v>35</v>
      </c>
      <c r="G254" s="1" t="s">
        <v>24</v>
      </c>
      <c r="H254" s="1">
        <v>1958.49</v>
      </c>
      <c r="I254" s="1">
        <v>2254.84</v>
      </c>
      <c r="J254" s="1" t="s">
        <v>27</v>
      </c>
      <c r="K254" s="1">
        <v>0.16</v>
      </c>
      <c r="L254" s="1" t="s">
        <v>28</v>
      </c>
      <c r="M254" s="1" t="s">
        <v>19</v>
      </c>
      <c r="N254" s="1">
        <f>SUM(Table3[[#This Row],[Unit_Price]]-Table3[[#This Row],[Unit_Cost]])</f>
        <v>296.35000000000014</v>
      </c>
      <c r="O254" s="7"/>
      <c r="P254" s="7"/>
      <c r="Q254" s="7"/>
      <c r="S254"/>
    </row>
    <row r="255" spans="1:19" x14ac:dyDescent="0.3">
      <c r="A255" s="1">
        <v>1073</v>
      </c>
      <c r="B255" s="2">
        <v>45220</v>
      </c>
      <c r="C255" s="1" t="s">
        <v>33</v>
      </c>
      <c r="D255" s="1" t="s">
        <v>45</v>
      </c>
      <c r="E255" s="1">
        <v>1365.88</v>
      </c>
      <c r="F255" s="1">
        <v>45</v>
      </c>
      <c r="G255" s="1" t="s">
        <v>16</v>
      </c>
      <c r="H255" s="1">
        <v>2558.09</v>
      </c>
      <c r="I255" s="1">
        <v>2958.55</v>
      </c>
      <c r="J255" s="1" t="s">
        <v>27</v>
      </c>
      <c r="K255" s="1">
        <v>0.08</v>
      </c>
      <c r="L255" s="1" t="s">
        <v>18</v>
      </c>
      <c r="M255" s="1" t="s">
        <v>19</v>
      </c>
      <c r="N255" s="1">
        <f>SUM(Table3[[#This Row],[Unit_Price]]-Table3[[#This Row],[Unit_Cost]])</f>
        <v>400.46000000000004</v>
      </c>
      <c r="O255" s="7"/>
      <c r="P255" s="7"/>
      <c r="Q255" s="7"/>
      <c r="S255"/>
    </row>
    <row r="256" spans="1:19" x14ac:dyDescent="0.3">
      <c r="A256" s="1">
        <v>1059</v>
      </c>
      <c r="B256" s="2">
        <v>45136</v>
      </c>
      <c r="C256" s="1" t="s">
        <v>14</v>
      </c>
      <c r="D256" s="1" t="s">
        <v>46</v>
      </c>
      <c r="E256" s="1">
        <v>7678.91</v>
      </c>
      <c r="F256" s="1">
        <v>16</v>
      </c>
      <c r="G256" s="1" t="s">
        <v>16</v>
      </c>
      <c r="H256" s="1">
        <v>4287.21</v>
      </c>
      <c r="I256" s="1">
        <v>4464.28</v>
      </c>
      <c r="J256" s="1" t="s">
        <v>17</v>
      </c>
      <c r="K256" s="1">
        <v>0.2</v>
      </c>
      <c r="L256" s="1" t="s">
        <v>28</v>
      </c>
      <c r="M256" s="1" t="s">
        <v>21</v>
      </c>
      <c r="N256" s="1">
        <f>SUM(Table3[[#This Row],[Unit_Price]]-Table3[[#This Row],[Unit_Cost]])</f>
        <v>177.06999999999971</v>
      </c>
      <c r="O256" s="7"/>
      <c r="P256" s="7"/>
      <c r="Q256" s="7"/>
      <c r="S256"/>
    </row>
    <row r="257" spans="1:19" x14ac:dyDescent="0.3">
      <c r="A257" s="1">
        <v>1070</v>
      </c>
      <c r="B257" s="2">
        <v>45273</v>
      </c>
      <c r="C257" s="1" t="s">
        <v>33</v>
      </c>
      <c r="D257" s="1" t="s">
        <v>47</v>
      </c>
      <c r="E257" s="1">
        <v>100.12</v>
      </c>
      <c r="F257" s="1">
        <v>8</v>
      </c>
      <c r="G257" s="1" t="s">
        <v>26</v>
      </c>
      <c r="H257" s="1">
        <v>3762.27</v>
      </c>
      <c r="I257" s="1">
        <v>4166.95</v>
      </c>
      <c r="J257" s="1" t="s">
        <v>17</v>
      </c>
      <c r="K257" s="1">
        <v>0.16</v>
      </c>
      <c r="L257" s="1" t="s">
        <v>25</v>
      </c>
      <c r="M257" s="1" t="s">
        <v>19</v>
      </c>
      <c r="N257" s="1">
        <f>SUM(Table3[[#This Row],[Unit_Price]]-Table3[[#This Row],[Unit_Cost]])</f>
        <v>404.67999999999984</v>
      </c>
      <c r="O257" s="7"/>
      <c r="P257" s="7"/>
      <c r="Q257" s="7"/>
      <c r="S257"/>
    </row>
    <row r="258" spans="1:19" x14ac:dyDescent="0.3">
      <c r="A258" s="1">
        <v>1080</v>
      </c>
      <c r="B258" s="2">
        <v>44943</v>
      </c>
      <c r="C258" s="1" t="s">
        <v>14</v>
      </c>
      <c r="D258" s="1" t="s">
        <v>48</v>
      </c>
      <c r="E258" s="1">
        <v>4224</v>
      </c>
      <c r="F258" s="1">
        <v>47</v>
      </c>
      <c r="G258" s="1" t="s">
        <v>16</v>
      </c>
      <c r="H258" s="1">
        <v>4035.33</v>
      </c>
      <c r="I258" s="1">
        <v>4211.25</v>
      </c>
      <c r="J258" s="1" t="s">
        <v>17</v>
      </c>
      <c r="K258" s="1">
        <v>7.0000000000000007E-2</v>
      </c>
      <c r="L258" s="1" t="s">
        <v>25</v>
      </c>
      <c r="M258" s="1" t="s">
        <v>19</v>
      </c>
      <c r="N258" s="1">
        <f>SUM(Table3[[#This Row],[Unit_Price]]-Table3[[#This Row],[Unit_Cost]])</f>
        <v>175.92000000000007</v>
      </c>
      <c r="O258" s="7"/>
      <c r="P258" s="7"/>
      <c r="Q258" s="7"/>
      <c r="S258"/>
    </row>
    <row r="259" spans="1:19" x14ac:dyDescent="0.3">
      <c r="A259" s="1">
        <v>1093</v>
      </c>
      <c r="B259" s="2">
        <v>45054</v>
      </c>
      <c r="C259" s="1" t="s">
        <v>14</v>
      </c>
      <c r="D259" s="1" t="s">
        <v>49</v>
      </c>
      <c r="E259" s="1">
        <v>5272.85</v>
      </c>
      <c r="F259" s="1">
        <v>17</v>
      </c>
      <c r="G259" s="1" t="s">
        <v>16</v>
      </c>
      <c r="H259" s="1">
        <v>727.38</v>
      </c>
      <c r="I259" s="1">
        <v>764.54</v>
      </c>
      <c r="J259" s="1" t="s">
        <v>17</v>
      </c>
      <c r="K259" s="1">
        <v>0.17</v>
      </c>
      <c r="L259" s="1" t="s">
        <v>28</v>
      </c>
      <c r="M259" s="1" t="s">
        <v>21</v>
      </c>
      <c r="N259" s="1">
        <f>SUM(Table3[[#This Row],[Unit_Price]]-Table3[[#This Row],[Unit_Cost]])</f>
        <v>37.159999999999968</v>
      </c>
      <c r="O259" s="7"/>
      <c r="P259" s="7"/>
      <c r="Q259" s="7"/>
      <c r="S259"/>
    </row>
    <row r="260" spans="1:19" x14ac:dyDescent="0.3">
      <c r="A260" s="1">
        <v>1003</v>
      </c>
      <c r="B260" s="2">
        <v>45290</v>
      </c>
      <c r="C260" s="1" t="s">
        <v>33</v>
      </c>
      <c r="D260" s="1" t="s">
        <v>50</v>
      </c>
      <c r="E260" s="1">
        <v>640.88</v>
      </c>
      <c r="F260" s="1">
        <v>17</v>
      </c>
      <c r="G260" s="1" t="s">
        <v>16</v>
      </c>
      <c r="H260" s="1">
        <v>395.11</v>
      </c>
      <c r="I260" s="1">
        <v>676.66</v>
      </c>
      <c r="J260" s="1" t="s">
        <v>17</v>
      </c>
      <c r="K260" s="1">
        <v>0.25</v>
      </c>
      <c r="L260" s="1" t="s">
        <v>18</v>
      </c>
      <c r="M260" s="1" t="s">
        <v>21</v>
      </c>
      <c r="N260" s="1">
        <f>SUM(Table3[[#This Row],[Unit_Price]]-Table3[[#This Row],[Unit_Cost]])</f>
        <v>281.54999999999995</v>
      </c>
      <c r="O260" s="7"/>
      <c r="P260" s="7"/>
      <c r="Q260" s="7"/>
      <c r="S260"/>
    </row>
    <row r="261" spans="1:19" x14ac:dyDescent="0.3">
      <c r="A261" s="1">
        <v>1020</v>
      </c>
      <c r="B261" s="2">
        <v>45177</v>
      </c>
      <c r="C261" s="1" t="s">
        <v>32</v>
      </c>
      <c r="D261" s="1" t="s">
        <v>44</v>
      </c>
      <c r="E261" s="1">
        <v>9733.4699999999993</v>
      </c>
      <c r="F261" s="1">
        <v>26</v>
      </c>
      <c r="G261" s="1" t="s">
        <v>26</v>
      </c>
      <c r="H261" s="1">
        <v>4472.3500000000004</v>
      </c>
      <c r="I261" s="1">
        <v>4770.42</v>
      </c>
      <c r="J261" s="1" t="s">
        <v>27</v>
      </c>
      <c r="K261" s="1">
        <v>0.01</v>
      </c>
      <c r="L261" s="1" t="s">
        <v>28</v>
      </c>
      <c r="M261" s="1" t="s">
        <v>21</v>
      </c>
      <c r="N261" s="1">
        <f>SUM(Table3[[#This Row],[Unit_Price]]-Table3[[#This Row],[Unit_Cost]])</f>
        <v>298.06999999999971</v>
      </c>
      <c r="O261" s="7"/>
      <c r="P261" s="7"/>
      <c r="Q261" s="7"/>
      <c r="S261"/>
    </row>
    <row r="262" spans="1:19" x14ac:dyDescent="0.3">
      <c r="A262" s="1">
        <v>1059</v>
      </c>
      <c r="B262" s="2">
        <v>45105</v>
      </c>
      <c r="C262" s="1" t="s">
        <v>14</v>
      </c>
      <c r="D262" s="1" t="s">
        <v>45</v>
      </c>
      <c r="E262" s="1">
        <v>2338.64</v>
      </c>
      <c r="F262" s="1">
        <v>13</v>
      </c>
      <c r="G262" s="1" t="s">
        <v>31</v>
      </c>
      <c r="H262" s="1">
        <v>1969.78</v>
      </c>
      <c r="I262" s="1">
        <v>2437.6999999999998</v>
      </c>
      <c r="J262" s="1" t="s">
        <v>27</v>
      </c>
      <c r="K262" s="1">
        <v>0.19</v>
      </c>
      <c r="L262" s="1" t="s">
        <v>28</v>
      </c>
      <c r="M262" s="1" t="s">
        <v>21</v>
      </c>
      <c r="N262" s="1">
        <f>SUM(Table3[[#This Row],[Unit_Price]]-Table3[[#This Row],[Unit_Cost]])</f>
        <v>467.91999999999985</v>
      </c>
      <c r="O262" s="7"/>
      <c r="P262" s="7"/>
      <c r="Q262" s="7"/>
      <c r="S262"/>
    </row>
    <row r="263" spans="1:19" x14ac:dyDescent="0.3">
      <c r="A263" s="1">
        <v>1036</v>
      </c>
      <c r="B263" s="2">
        <v>45108</v>
      </c>
      <c r="C263" s="1" t="s">
        <v>33</v>
      </c>
      <c r="D263" s="1" t="s">
        <v>46</v>
      </c>
      <c r="E263" s="1">
        <v>3111.57</v>
      </c>
      <c r="F263" s="1">
        <v>17</v>
      </c>
      <c r="G263" s="1" t="s">
        <v>16</v>
      </c>
      <c r="H263" s="1">
        <v>1475</v>
      </c>
      <c r="I263" s="1">
        <v>1840.77</v>
      </c>
      <c r="J263" s="1" t="s">
        <v>17</v>
      </c>
      <c r="K263" s="1">
        <v>0.1</v>
      </c>
      <c r="L263" s="1" t="s">
        <v>28</v>
      </c>
      <c r="M263" s="1" t="s">
        <v>19</v>
      </c>
      <c r="N263" s="1">
        <f>SUM(Table3[[#This Row],[Unit_Price]]-Table3[[#This Row],[Unit_Cost]])</f>
        <v>365.77</v>
      </c>
      <c r="O263" s="7"/>
      <c r="P263" s="7"/>
      <c r="Q263" s="7"/>
      <c r="S263"/>
    </row>
    <row r="264" spans="1:19" x14ac:dyDescent="0.3">
      <c r="A264" s="1">
        <v>1019</v>
      </c>
      <c r="B264" s="2">
        <v>45078</v>
      </c>
      <c r="C264" s="1" t="s">
        <v>14</v>
      </c>
      <c r="D264" s="1" t="s">
        <v>47</v>
      </c>
      <c r="E264" s="1">
        <v>3109.03</v>
      </c>
      <c r="F264" s="1">
        <v>38</v>
      </c>
      <c r="G264" s="1" t="s">
        <v>26</v>
      </c>
      <c r="H264" s="1">
        <v>3637.25</v>
      </c>
      <c r="I264" s="1">
        <v>4096.96</v>
      </c>
      <c r="J264" s="1" t="s">
        <v>17</v>
      </c>
      <c r="K264" s="1">
        <v>0.09</v>
      </c>
      <c r="L264" s="1" t="s">
        <v>25</v>
      </c>
      <c r="M264" s="1" t="s">
        <v>19</v>
      </c>
      <c r="N264" s="1">
        <f>SUM(Table3[[#This Row],[Unit_Price]]-Table3[[#This Row],[Unit_Cost]])</f>
        <v>459.71000000000004</v>
      </c>
      <c r="O264" s="7"/>
      <c r="P264" s="7"/>
      <c r="Q264" s="7"/>
      <c r="S264"/>
    </row>
    <row r="265" spans="1:19" x14ac:dyDescent="0.3">
      <c r="A265" s="1">
        <v>1090</v>
      </c>
      <c r="B265" s="2">
        <v>44951</v>
      </c>
      <c r="C265" s="1" t="s">
        <v>29</v>
      </c>
      <c r="D265" s="1" t="s">
        <v>48</v>
      </c>
      <c r="E265" s="1">
        <v>2381.12</v>
      </c>
      <c r="F265" s="1">
        <v>17</v>
      </c>
      <c r="G265" s="1" t="s">
        <v>26</v>
      </c>
      <c r="H265" s="1">
        <v>4190.26</v>
      </c>
      <c r="I265" s="1">
        <v>4645.3500000000004</v>
      </c>
      <c r="J265" s="1" t="s">
        <v>27</v>
      </c>
      <c r="K265" s="1">
        <v>0.12</v>
      </c>
      <c r="L265" s="1" t="s">
        <v>28</v>
      </c>
      <c r="M265" s="1" t="s">
        <v>21</v>
      </c>
      <c r="N265" s="1">
        <f>SUM(Table3[[#This Row],[Unit_Price]]-Table3[[#This Row],[Unit_Cost]])</f>
        <v>455.09000000000015</v>
      </c>
      <c r="O265" s="7"/>
      <c r="P265" s="7"/>
      <c r="Q265" s="7"/>
      <c r="S265"/>
    </row>
    <row r="266" spans="1:19" x14ac:dyDescent="0.3">
      <c r="A266" s="1">
        <v>1067</v>
      </c>
      <c r="B266" s="2">
        <v>45106</v>
      </c>
      <c r="C266" s="1" t="s">
        <v>32</v>
      </c>
      <c r="D266" s="1" t="s">
        <v>49</v>
      </c>
      <c r="E266" s="1">
        <v>114.59</v>
      </c>
      <c r="F266" s="1">
        <v>48</v>
      </c>
      <c r="G266" s="1" t="s">
        <v>24</v>
      </c>
      <c r="H266" s="1">
        <v>4319.32</v>
      </c>
      <c r="I266" s="1">
        <v>4625.5599999999904</v>
      </c>
      <c r="J266" s="1" t="s">
        <v>17</v>
      </c>
      <c r="K266" s="1">
        <v>0.1</v>
      </c>
      <c r="L266" s="1" t="s">
        <v>25</v>
      </c>
      <c r="M266" s="1" t="s">
        <v>19</v>
      </c>
      <c r="N266" s="1">
        <f>SUM(Table3[[#This Row],[Unit_Price]]-Table3[[#This Row],[Unit_Cost]])</f>
        <v>306.23999999999069</v>
      </c>
      <c r="O266" s="7"/>
      <c r="P266" s="7"/>
      <c r="Q266" s="7"/>
      <c r="S266"/>
    </row>
    <row r="267" spans="1:19" x14ac:dyDescent="0.3">
      <c r="A267" s="1">
        <v>1019</v>
      </c>
      <c r="B267" s="2">
        <v>45124</v>
      </c>
      <c r="C267" s="1" t="s">
        <v>22</v>
      </c>
      <c r="D267" s="1" t="s">
        <v>50</v>
      </c>
      <c r="E267" s="1">
        <v>7320.51</v>
      </c>
      <c r="F267" s="1">
        <v>14</v>
      </c>
      <c r="G267" s="1" t="s">
        <v>26</v>
      </c>
      <c r="H267" s="1">
        <v>1614.19</v>
      </c>
      <c r="I267" s="1">
        <v>1882.79</v>
      </c>
      <c r="J267" s="1" t="s">
        <v>27</v>
      </c>
      <c r="K267" s="1">
        <v>0.25</v>
      </c>
      <c r="L267" s="1" t="s">
        <v>28</v>
      </c>
      <c r="M267" s="1" t="s">
        <v>21</v>
      </c>
      <c r="N267" s="1">
        <f>SUM(Table3[[#This Row],[Unit_Price]]-Table3[[#This Row],[Unit_Cost]])</f>
        <v>268.59999999999991</v>
      </c>
      <c r="O267" s="7"/>
      <c r="P267" s="7"/>
      <c r="Q267" s="7"/>
      <c r="S267"/>
    </row>
    <row r="268" spans="1:19" x14ac:dyDescent="0.3">
      <c r="A268" s="1">
        <v>1020</v>
      </c>
      <c r="B268" s="2">
        <v>45270</v>
      </c>
      <c r="C268" s="1" t="s">
        <v>14</v>
      </c>
      <c r="D268" s="1" t="s">
        <v>44</v>
      </c>
      <c r="E268" s="1">
        <v>9671.77</v>
      </c>
      <c r="F268" s="1">
        <v>45</v>
      </c>
      <c r="G268" s="1" t="s">
        <v>31</v>
      </c>
      <c r="H268" s="1">
        <v>4268.45</v>
      </c>
      <c r="I268" s="1">
        <v>4551.5999999999904</v>
      </c>
      <c r="J268" s="1" t="s">
        <v>27</v>
      </c>
      <c r="K268" s="1">
        <v>0.08</v>
      </c>
      <c r="L268" s="1" t="s">
        <v>25</v>
      </c>
      <c r="M268" s="1" t="s">
        <v>19</v>
      </c>
      <c r="N268" s="1">
        <f>SUM(Table3[[#This Row],[Unit_Price]]-Table3[[#This Row],[Unit_Cost]])</f>
        <v>283.14999999999054</v>
      </c>
      <c r="O268" s="7"/>
      <c r="P268" s="7"/>
      <c r="Q268" s="7"/>
      <c r="S268"/>
    </row>
    <row r="269" spans="1:19" x14ac:dyDescent="0.3">
      <c r="A269" s="1">
        <v>1096</v>
      </c>
      <c r="B269" s="2">
        <v>45087</v>
      </c>
      <c r="C269" s="1" t="s">
        <v>29</v>
      </c>
      <c r="D269" s="1" t="s">
        <v>45</v>
      </c>
      <c r="E269" s="1">
        <v>2320.5100000000002</v>
      </c>
      <c r="F269" s="1">
        <v>6</v>
      </c>
      <c r="G269" s="1" t="s">
        <v>16</v>
      </c>
      <c r="H269" s="1">
        <v>252.62</v>
      </c>
      <c r="I269" s="1">
        <v>742</v>
      </c>
      <c r="J269" s="1" t="s">
        <v>27</v>
      </c>
      <c r="K269" s="1">
        <v>0.22</v>
      </c>
      <c r="L269" s="1" t="s">
        <v>28</v>
      </c>
      <c r="M269" s="1" t="s">
        <v>21</v>
      </c>
      <c r="N269" s="1">
        <f>SUM(Table3[[#This Row],[Unit_Price]]-Table3[[#This Row],[Unit_Cost]])</f>
        <v>489.38</v>
      </c>
      <c r="O269" s="7"/>
      <c r="P269" s="7"/>
      <c r="Q269" s="7"/>
      <c r="S269"/>
    </row>
    <row r="270" spans="1:19" x14ac:dyDescent="0.3">
      <c r="A270" s="1">
        <v>1071</v>
      </c>
      <c r="B270" s="2">
        <v>45103</v>
      </c>
      <c r="C270" s="1" t="s">
        <v>22</v>
      </c>
      <c r="D270" s="1" t="s">
        <v>46</v>
      </c>
      <c r="E270" s="1">
        <v>6664.17</v>
      </c>
      <c r="F270" s="1">
        <v>35</v>
      </c>
      <c r="G270" s="1" t="s">
        <v>26</v>
      </c>
      <c r="H270" s="1">
        <v>295.82</v>
      </c>
      <c r="I270" s="1">
        <v>684.67</v>
      </c>
      <c r="J270" s="1" t="s">
        <v>27</v>
      </c>
      <c r="K270" s="1">
        <v>0.03</v>
      </c>
      <c r="L270" s="1" t="s">
        <v>28</v>
      </c>
      <c r="M270" s="1" t="s">
        <v>19</v>
      </c>
      <c r="N270" s="1">
        <f>SUM(Table3[[#This Row],[Unit_Price]]-Table3[[#This Row],[Unit_Cost]])</f>
        <v>388.84999999999997</v>
      </c>
      <c r="O270" s="7"/>
      <c r="P270" s="7"/>
      <c r="Q270" s="7"/>
      <c r="S270"/>
    </row>
    <row r="271" spans="1:19" x14ac:dyDescent="0.3">
      <c r="A271" s="1">
        <v>1052</v>
      </c>
      <c r="B271" s="2">
        <v>45211</v>
      </c>
      <c r="C271" s="1" t="s">
        <v>22</v>
      </c>
      <c r="D271" s="1" t="s">
        <v>47</v>
      </c>
      <c r="E271" s="1">
        <v>7444.77</v>
      </c>
      <c r="F271" s="1">
        <v>46</v>
      </c>
      <c r="G271" s="1" t="s">
        <v>31</v>
      </c>
      <c r="H271" s="1">
        <v>3136.42</v>
      </c>
      <c r="I271" s="1">
        <v>3198.49</v>
      </c>
      <c r="J271" s="1" t="s">
        <v>17</v>
      </c>
      <c r="K271" s="1">
        <v>0.28999999999999998</v>
      </c>
      <c r="L271" s="1" t="s">
        <v>18</v>
      </c>
      <c r="M271" s="1" t="s">
        <v>21</v>
      </c>
      <c r="N271" s="1">
        <f>SUM(Table3[[#This Row],[Unit_Price]]-Table3[[#This Row],[Unit_Cost]])</f>
        <v>62.069999999999709</v>
      </c>
      <c r="O271" s="7"/>
      <c r="P271" s="7"/>
      <c r="Q271" s="7"/>
      <c r="S271"/>
    </row>
    <row r="272" spans="1:19" x14ac:dyDescent="0.3">
      <c r="A272" s="1">
        <v>1033</v>
      </c>
      <c r="B272" s="2">
        <v>44989</v>
      </c>
      <c r="C272" s="1" t="s">
        <v>14</v>
      </c>
      <c r="D272" s="1" t="s">
        <v>48</v>
      </c>
      <c r="E272" s="1">
        <v>8499.41</v>
      </c>
      <c r="F272" s="1">
        <v>14</v>
      </c>
      <c r="G272" s="1" t="s">
        <v>26</v>
      </c>
      <c r="H272" s="1">
        <v>362.38</v>
      </c>
      <c r="I272" s="1">
        <v>753.81</v>
      </c>
      <c r="J272" s="1" t="s">
        <v>17</v>
      </c>
      <c r="K272" s="1">
        <v>0.19</v>
      </c>
      <c r="L272" s="1" t="s">
        <v>18</v>
      </c>
      <c r="M272" s="1" t="s">
        <v>21</v>
      </c>
      <c r="N272" s="1">
        <f>SUM(Table3[[#This Row],[Unit_Price]]-Table3[[#This Row],[Unit_Cost]])</f>
        <v>391.42999999999995</v>
      </c>
      <c r="O272" s="7"/>
      <c r="P272" s="7"/>
      <c r="Q272" s="7"/>
      <c r="S272"/>
    </row>
    <row r="273" spans="1:19" x14ac:dyDescent="0.3">
      <c r="A273" s="1">
        <v>1040</v>
      </c>
      <c r="B273" s="2">
        <v>45076</v>
      </c>
      <c r="C273" s="1" t="s">
        <v>33</v>
      </c>
      <c r="D273" s="1" t="s">
        <v>49</v>
      </c>
      <c r="E273" s="1">
        <v>4284.03</v>
      </c>
      <c r="F273" s="1">
        <v>47</v>
      </c>
      <c r="G273" s="1" t="s">
        <v>26</v>
      </c>
      <c r="H273" s="1">
        <v>1656.82</v>
      </c>
      <c r="I273" s="1">
        <v>1750.3799999999901</v>
      </c>
      <c r="J273" s="1" t="s">
        <v>27</v>
      </c>
      <c r="K273" s="1">
        <v>0.21</v>
      </c>
      <c r="L273" s="1" t="s">
        <v>28</v>
      </c>
      <c r="M273" s="1" t="s">
        <v>19</v>
      </c>
      <c r="N273" s="1">
        <f>SUM(Table3[[#This Row],[Unit_Price]]-Table3[[#This Row],[Unit_Cost]])</f>
        <v>93.559999999990168</v>
      </c>
      <c r="O273" s="7"/>
      <c r="P273" s="7"/>
      <c r="Q273" s="7"/>
      <c r="S273"/>
    </row>
    <row r="274" spans="1:19" x14ac:dyDescent="0.3">
      <c r="A274" s="1">
        <v>1039</v>
      </c>
      <c r="B274" s="2">
        <v>45080</v>
      </c>
      <c r="C274" s="1" t="s">
        <v>14</v>
      </c>
      <c r="D274" s="1" t="s">
        <v>50</v>
      </c>
      <c r="E274" s="1">
        <v>3099.02</v>
      </c>
      <c r="F274" s="1">
        <v>8</v>
      </c>
      <c r="G274" s="1" t="s">
        <v>26</v>
      </c>
      <c r="H274" s="1">
        <v>3380.14</v>
      </c>
      <c r="I274" s="1">
        <v>3609.3399999999901</v>
      </c>
      <c r="J274" s="1" t="s">
        <v>17</v>
      </c>
      <c r="K274" s="1">
        <v>0.09</v>
      </c>
      <c r="L274" s="1" t="s">
        <v>28</v>
      </c>
      <c r="M274" s="1" t="s">
        <v>19</v>
      </c>
      <c r="N274" s="1">
        <f>SUM(Table3[[#This Row],[Unit_Price]]-Table3[[#This Row],[Unit_Cost]])</f>
        <v>229.19999999999027</v>
      </c>
      <c r="O274" s="7"/>
      <c r="P274" s="7"/>
      <c r="Q274" s="7"/>
      <c r="S274"/>
    </row>
    <row r="275" spans="1:19" x14ac:dyDescent="0.3">
      <c r="A275" s="1">
        <v>1082</v>
      </c>
      <c r="B275" s="2">
        <v>45082</v>
      </c>
      <c r="C275" s="1" t="s">
        <v>29</v>
      </c>
      <c r="D275" s="1" t="s">
        <v>44</v>
      </c>
      <c r="E275" s="1">
        <v>3320.42</v>
      </c>
      <c r="F275" s="1">
        <v>15</v>
      </c>
      <c r="G275" s="1" t="s">
        <v>26</v>
      </c>
      <c r="H275" s="1">
        <v>1719.47</v>
      </c>
      <c r="I275" s="1">
        <v>1832.6</v>
      </c>
      <c r="J275" s="1" t="s">
        <v>17</v>
      </c>
      <c r="K275" s="1">
        <v>0.12</v>
      </c>
      <c r="L275" s="1" t="s">
        <v>28</v>
      </c>
      <c r="M275" s="1" t="s">
        <v>19</v>
      </c>
      <c r="N275" s="1">
        <f>SUM(Table3[[#This Row],[Unit_Price]]-Table3[[#This Row],[Unit_Cost]])</f>
        <v>113.12999999999988</v>
      </c>
      <c r="O275" s="7"/>
      <c r="P275" s="7"/>
      <c r="Q275" s="7"/>
      <c r="S275"/>
    </row>
    <row r="276" spans="1:19" x14ac:dyDescent="0.3">
      <c r="A276" s="1">
        <v>1001</v>
      </c>
      <c r="B276" s="2">
        <v>44975</v>
      </c>
      <c r="C276" s="1" t="s">
        <v>22</v>
      </c>
      <c r="D276" s="1" t="s">
        <v>45</v>
      </c>
      <c r="E276" s="1">
        <v>7154.95</v>
      </c>
      <c r="F276" s="1">
        <v>27</v>
      </c>
      <c r="G276" s="1" t="s">
        <v>26</v>
      </c>
      <c r="H276" s="1">
        <v>939.02</v>
      </c>
      <c r="I276" s="1">
        <v>1286.92</v>
      </c>
      <c r="J276" s="1" t="s">
        <v>17</v>
      </c>
      <c r="K276" s="1">
        <v>7.0000000000000007E-2</v>
      </c>
      <c r="L276" s="1" t="s">
        <v>28</v>
      </c>
      <c r="M276" s="1" t="s">
        <v>21</v>
      </c>
      <c r="N276" s="1">
        <f>SUM(Table3[[#This Row],[Unit_Price]]-Table3[[#This Row],[Unit_Cost]])</f>
        <v>347.90000000000009</v>
      </c>
      <c r="O276" s="7"/>
      <c r="P276" s="7"/>
      <c r="Q276" s="7"/>
      <c r="S276"/>
    </row>
    <row r="277" spans="1:19" x14ac:dyDescent="0.3">
      <c r="A277" s="1">
        <v>1011</v>
      </c>
      <c r="B277" s="2">
        <v>45263</v>
      </c>
      <c r="C277" s="1" t="s">
        <v>14</v>
      </c>
      <c r="D277" s="1" t="s">
        <v>46</v>
      </c>
      <c r="E277" s="1">
        <v>8186.12</v>
      </c>
      <c r="F277" s="1">
        <v>13</v>
      </c>
      <c r="G277" s="1" t="s">
        <v>31</v>
      </c>
      <c r="H277" s="1">
        <v>1442.69</v>
      </c>
      <c r="I277" s="1">
        <v>1882.57</v>
      </c>
      <c r="J277" s="1" t="s">
        <v>17</v>
      </c>
      <c r="K277" s="1">
        <v>0.28000000000000003</v>
      </c>
      <c r="L277" s="1" t="s">
        <v>18</v>
      </c>
      <c r="M277" s="1" t="s">
        <v>19</v>
      </c>
      <c r="N277" s="1">
        <f>SUM(Table3[[#This Row],[Unit_Price]]-Table3[[#This Row],[Unit_Cost]])</f>
        <v>439.87999999999988</v>
      </c>
      <c r="O277" s="7"/>
      <c r="P277" s="7"/>
      <c r="Q277" s="7"/>
      <c r="S277"/>
    </row>
    <row r="278" spans="1:19" x14ac:dyDescent="0.3">
      <c r="A278" s="1">
        <v>1092</v>
      </c>
      <c r="B278" s="2">
        <v>45010</v>
      </c>
      <c r="C278" s="1" t="s">
        <v>33</v>
      </c>
      <c r="D278" s="1" t="s">
        <v>47</v>
      </c>
      <c r="E278" s="1">
        <v>1897.98</v>
      </c>
      <c r="F278" s="1">
        <v>49</v>
      </c>
      <c r="G278" s="1" t="s">
        <v>16</v>
      </c>
      <c r="H278" s="1">
        <v>2315</v>
      </c>
      <c r="I278" s="1">
        <v>2467.2800000000002</v>
      </c>
      <c r="J278" s="1" t="s">
        <v>27</v>
      </c>
      <c r="K278" s="1">
        <v>0.15</v>
      </c>
      <c r="L278" s="1" t="s">
        <v>25</v>
      </c>
      <c r="M278" s="1" t="s">
        <v>21</v>
      </c>
      <c r="N278" s="1">
        <f>SUM(Table3[[#This Row],[Unit_Price]]-Table3[[#This Row],[Unit_Cost]])</f>
        <v>152.2800000000002</v>
      </c>
      <c r="O278" s="7"/>
      <c r="P278" s="7"/>
      <c r="Q278" s="7"/>
      <c r="S278"/>
    </row>
    <row r="279" spans="1:19" x14ac:dyDescent="0.3">
      <c r="A279" s="1">
        <v>1057</v>
      </c>
      <c r="B279" s="2">
        <v>45287</v>
      </c>
      <c r="C279" s="1" t="s">
        <v>14</v>
      </c>
      <c r="D279" s="1" t="s">
        <v>48</v>
      </c>
      <c r="E279" s="1">
        <v>3772.32</v>
      </c>
      <c r="F279" s="1">
        <v>31</v>
      </c>
      <c r="G279" s="1" t="s">
        <v>16</v>
      </c>
      <c r="H279" s="1">
        <v>2403.16</v>
      </c>
      <c r="I279" s="1">
        <v>2453.35</v>
      </c>
      <c r="J279" s="1" t="s">
        <v>17</v>
      </c>
      <c r="K279" s="1">
        <v>0.19</v>
      </c>
      <c r="L279" s="1" t="s">
        <v>28</v>
      </c>
      <c r="M279" s="1" t="s">
        <v>19</v>
      </c>
      <c r="N279" s="1">
        <f>SUM(Table3[[#This Row],[Unit_Price]]-Table3[[#This Row],[Unit_Cost]])</f>
        <v>50.190000000000055</v>
      </c>
      <c r="O279" s="7"/>
      <c r="P279" s="7"/>
      <c r="Q279" s="7"/>
      <c r="S279"/>
    </row>
    <row r="280" spans="1:19" x14ac:dyDescent="0.3">
      <c r="A280" s="1">
        <v>1089</v>
      </c>
      <c r="B280" s="2">
        <v>45103</v>
      </c>
      <c r="C280" s="1" t="s">
        <v>32</v>
      </c>
      <c r="D280" s="1" t="s">
        <v>49</v>
      </c>
      <c r="E280" s="1">
        <v>9029.2099999999991</v>
      </c>
      <c r="F280" s="1">
        <v>35</v>
      </c>
      <c r="G280" s="1" t="s">
        <v>16</v>
      </c>
      <c r="H280" s="1">
        <v>3925.85</v>
      </c>
      <c r="I280" s="1">
        <v>4082.1099999999901</v>
      </c>
      <c r="J280" s="1" t="s">
        <v>27</v>
      </c>
      <c r="K280" s="1">
        <v>0.22</v>
      </c>
      <c r="L280" s="1" t="s">
        <v>18</v>
      </c>
      <c r="M280" s="1" t="s">
        <v>19</v>
      </c>
      <c r="N280" s="1">
        <f>SUM(Table3[[#This Row],[Unit_Price]]-Table3[[#This Row],[Unit_Cost]])</f>
        <v>156.25999999999021</v>
      </c>
      <c r="O280" s="7"/>
      <c r="P280" s="7"/>
      <c r="Q280" s="7"/>
      <c r="S280"/>
    </row>
    <row r="281" spans="1:19" x14ac:dyDescent="0.3">
      <c r="A281" s="1">
        <v>1050</v>
      </c>
      <c r="B281" s="2">
        <v>45074</v>
      </c>
      <c r="C281" s="1" t="s">
        <v>33</v>
      </c>
      <c r="D281" s="1" t="s">
        <v>50</v>
      </c>
      <c r="E281" s="1">
        <v>8086.27</v>
      </c>
      <c r="F281" s="1">
        <v>6</v>
      </c>
      <c r="G281" s="1" t="s">
        <v>16</v>
      </c>
      <c r="H281" s="1">
        <v>3763.26</v>
      </c>
      <c r="I281" s="1">
        <v>4102.72</v>
      </c>
      <c r="J281" s="1" t="s">
        <v>27</v>
      </c>
      <c r="K281" s="1">
        <v>0.11</v>
      </c>
      <c r="L281" s="1" t="s">
        <v>28</v>
      </c>
      <c r="M281" s="1" t="s">
        <v>21</v>
      </c>
      <c r="N281" s="1">
        <f>SUM(Table3[[#This Row],[Unit_Price]]-Table3[[#This Row],[Unit_Cost]])</f>
        <v>339.46000000000004</v>
      </c>
      <c r="O281" s="7"/>
      <c r="P281" s="7"/>
      <c r="Q281" s="7"/>
      <c r="S281"/>
    </row>
    <row r="282" spans="1:19" x14ac:dyDescent="0.3">
      <c r="A282" s="1">
        <v>1023</v>
      </c>
      <c r="B282" s="2">
        <v>45044</v>
      </c>
      <c r="C282" s="1" t="s">
        <v>29</v>
      </c>
      <c r="D282" s="1" t="s">
        <v>44</v>
      </c>
      <c r="E282" s="1">
        <v>9850.1</v>
      </c>
      <c r="F282" s="1">
        <v>5</v>
      </c>
      <c r="G282" s="1" t="s">
        <v>31</v>
      </c>
      <c r="H282" s="1">
        <v>2311.25</v>
      </c>
      <c r="I282" s="1">
        <v>2482.34</v>
      </c>
      <c r="J282" s="1" t="s">
        <v>17</v>
      </c>
      <c r="K282" s="1">
        <v>0.22</v>
      </c>
      <c r="L282" s="1" t="s">
        <v>28</v>
      </c>
      <c r="M282" s="1" t="s">
        <v>21</v>
      </c>
      <c r="N282" s="1">
        <f>SUM(Table3[[#This Row],[Unit_Price]]-Table3[[#This Row],[Unit_Cost]])</f>
        <v>171.09000000000015</v>
      </c>
      <c r="O282" s="7"/>
      <c r="P282" s="7"/>
      <c r="Q282" s="7"/>
      <c r="S282"/>
    </row>
    <row r="283" spans="1:19" x14ac:dyDescent="0.3">
      <c r="A283" s="1">
        <v>1031</v>
      </c>
      <c r="B283" s="2">
        <v>45268</v>
      </c>
      <c r="C283" s="1" t="s">
        <v>22</v>
      </c>
      <c r="D283" s="1" t="s">
        <v>45</v>
      </c>
      <c r="E283" s="1">
        <v>7567.06</v>
      </c>
      <c r="F283" s="1">
        <v>22</v>
      </c>
      <c r="G283" s="1" t="s">
        <v>24</v>
      </c>
      <c r="H283" s="1">
        <v>4236.05</v>
      </c>
      <c r="I283" s="1">
        <v>4382.32</v>
      </c>
      <c r="J283" s="1" t="s">
        <v>27</v>
      </c>
      <c r="K283" s="1">
        <v>0.2</v>
      </c>
      <c r="L283" s="1" t="s">
        <v>25</v>
      </c>
      <c r="M283" s="1" t="s">
        <v>19</v>
      </c>
      <c r="N283" s="1">
        <f>SUM(Table3[[#This Row],[Unit_Price]]-Table3[[#This Row],[Unit_Cost]])</f>
        <v>146.26999999999953</v>
      </c>
      <c r="O283" s="7"/>
      <c r="P283" s="7"/>
      <c r="Q283" s="7"/>
      <c r="S283"/>
    </row>
    <row r="284" spans="1:19" x14ac:dyDescent="0.3">
      <c r="A284" s="1">
        <v>1094</v>
      </c>
      <c r="B284" s="2">
        <v>44989</v>
      </c>
      <c r="C284" s="1" t="s">
        <v>14</v>
      </c>
      <c r="D284" s="1" t="s">
        <v>46</v>
      </c>
      <c r="E284" s="1">
        <v>3992.63</v>
      </c>
      <c r="F284" s="1">
        <v>49</v>
      </c>
      <c r="G284" s="1" t="s">
        <v>24</v>
      </c>
      <c r="H284" s="1">
        <v>615.47</v>
      </c>
      <c r="I284" s="1">
        <v>715.84</v>
      </c>
      <c r="J284" s="1" t="s">
        <v>17</v>
      </c>
      <c r="K284" s="1">
        <v>0.21</v>
      </c>
      <c r="L284" s="1" t="s">
        <v>28</v>
      </c>
      <c r="M284" s="1" t="s">
        <v>21</v>
      </c>
      <c r="N284" s="1">
        <f>SUM(Table3[[#This Row],[Unit_Price]]-Table3[[#This Row],[Unit_Cost]])</f>
        <v>100.37</v>
      </c>
      <c r="O284" s="7"/>
      <c r="P284" s="7"/>
      <c r="Q284" s="7"/>
      <c r="S284"/>
    </row>
    <row r="285" spans="1:19" x14ac:dyDescent="0.3">
      <c r="A285" s="1">
        <v>1042</v>
      </c>
      <c r="B285" s="2">
        <v>45115</v>
      </c>
      <c r="C285" s="1" t="s">
        <v>33</v>
      </c>
      <c r="D285" s="1" t="s">
        <v>47</v>
      </c>
      <c r="E285" s="1">
        <v>5947.31</v>
      </c>
      <c r="F285" s="1">
        <v>23</v>
      </c>
      <c r="G285" s="1" t="s">
        <v>31</v>
      </c>
      <c r="H285" s="1">
        <v>1314</v>
      </c>
      <c r="I285" s="1">
        <v>1567.78</v>
      </c>
      <c r="J285" s="1" t="s">
        <v>17</v>
      </c>
      <c r="K285" s="1">
        <v>0.15</v>
      </c>
      <c r="L285" s="1" t="s">
        <v>28</v>
      </c>
      <c r="M285" s="1" t="s">
        <v>21</v>
      </c>
      <c r="N285" s="1">
        <f>SUM(Table3[[#This Row],[Unit_Price]]-Table3[[#This Row],[Unit_Cost]])</f>
        <v>253.77999999999997</v>
      </c>
      <c r="O285" s="7"/>
      <c r="P285" s="7"/>
      <c r="Q285" s="7"/>
      <c r="S285"/>
    </row>
    <row r="286" spans="1:19" x14ac:dyDescent="0.3">
      <c r="A286" s="1">
        <v>1099</v>
      </c>
      <c r="B286" s="2">
        <v>45286</v>
      </c>
      <c r="C286" s="1" t="s">
        <v>32</v>
      </c>
      <c r="D286" s="1" t="s">
        <v>48</v>
      </c>
      <c r="E286" s="1">
        <v>6644.04</v>
      </c>
      <c r="F286" s="1">
        <v>25</v>
      </c>
      <c r="G286" s="1" t="s">
        <v>31</v>
      </c>
      <c r="H286" s="1">
        <v>4148.4799999999996</v>
      </c>
      <c r="I286" s="1">
        <v>4293.6899999999996</v>
      </c>
      <c r="J286" s="1" t="s">
        <v>27</v>
      </c>
      <c r="K286" s="1">
        <v>0.11</v>
      </c>
      <c r="L286" s="1" t="s">
        <v>25</v>
      </c>
      <c r="M286" s="1" t="s">
        <v>19</v>
      </c>
      <c r="N286" s="1">
        <f>SUM(Table3[[#This Row],[Unit_Price]]-Table3[[#This Row],[Unit_Cost]])</f>
        <v>145.21000000000004</v>
      </c>
      <c r="O286" s="7"/>
      <c r="P286" s="7"/>
      <c r="Q286" s="7"/>
      <c r="S286"/>
    </row>
    <row r="287" spans="1:19" x14ac:dyDescent="0.3">
      <c r="A287" s="1">
        <v>1007</v>
      </c>
      <c r="B287" s="2">
        <v>44975</v>
      </c>
      <c r="C287" s="1" t="s">
        <v>33</v>
      </c>
      <c r="D287" s="1" t="s">
        <v>49</v>
      </c>
      <c r="E287" s="1">
        <v>876.71</v>
      </c>
      <c r="F287" s="1">
        <v>34</v>
      </c>
      <c r="G287" s="1" t="s">
        <v>26</v>
      </c>
      <c r="H287" s="1">
        <v>1921.07</v>
      </c>
      <c r="I287" s="1">
        <v>2289.27</v>
      </c>
      <c r="J287" s="1" t="s">
        <v>17</v>
      </c>
      <c r="K287" s="1">
        <v>7.0000000000000007E-2</v>
      </c>
      <c r="L287" s="1" t="s">
        <v>25</v>
      </c>
      <c r="M287" s="1" t="s">
        <v>21</v>
      </c>
      <c r="N287" s="1">
        <f>SUM(Table3[[#This Row],[Unit_Price]]-Table3[[#This Row],[Unit_Cost]])</f>
        <v>368.20000000000005</v>
      </c>
      <c r="O287" s="7"/>
      <c r="P287" s="7"/>
      <c r="Q287" s="7"/>
      <c r="S287"/>
    </row>
    <row r="288" spans="1:19" x14ac:dyDescent="0.3">
      <c r="A288" s="1">
        <v>1016</v>
      </c>
      <c r="B288" s="2">
        <v>45253</v>
      </c>
      <c r="C288" s="1" t="s">
        <v>32</v>
      </c>
      <c r="D288" s="1" t="s">
        <v>50</v>
      </c>
      <c r="E288" s="1">
        <v>5490.52</v>
      </c>
      <c r="F288" s="1">
        <v>26</v>
      </c>
      <c r="G288" s="1" t="s">
        <v>26</v>
      </c>
      <c r="H288" s="1">
        <v>4906.8500000000004</v>
      </c>
      <c r="I288" s="1">
        <v>4954.3900000000003</v>
      </c>
      <c r="J288" s="1" t="s">
        <v>27</v>
      </c>
      <c r="K288" s="1">
        <v>0.25</v>
      </c>
      <c r="L288" s="1" t="s">
        <v>25</v>
      </c>
      <c r="M288" s="1" t="s">
        <v>19</v>
      </c>
      <c r="N288" s="1">
        <f>SUM(Table3[[#This Row],[Unit_Price]]-Table3[[#This Row],[Unit_Cost]])</f>
        <v>47.539999999999964</v>
      </c>
      <c r="O288" s="7"/>
      <c r="P288" s="7"/>
      <c r="Q288" s="7"/>
      <c r="S288"/>
    </row>
    <row r="289" spans="1:19" x14ac:dyDescent="0.3">
      <c r="A289" s="1">
        <v>1090</v>
      </c>
      <c r="B289" s="2">
        <v>45183</v>
      </c>
      <c r="C289" s="1" t="s">
        <v>29</v>
      </c>
      <c r="D289" s="1" t="s">
        <v>44</v>
      </c>
      <c r="E289" s="1">
        <v>7122.28</v>
      </c>
      <c r="F289" s="1">
        <v>47</v>
      </c>
      <c r="G289" s="1" t="s">
        <v>26</v>
      </c>
      <c r="H289" s="1">
        <v>2357.9499999999998</v>
      </c>
      <c r="I289" s="1">
        <v>2693.33</v>
      </c>
      <c r="J289" s="1" t="s">
        <v>27</v>
      </c>
      <c r="K289" s="1">
        <v>0.18</v>
      </c>
      <c r="L289" s="1" t="s">
        <v>25</v>
      </c>
      <c r="M289" s="1" t="s">
        <v>19</v>
      </c>
      <c r="N289" s="1">
        <f>SUM(Table3[[#This Row],[Unit_Price]]-Table3[[#This Row],[Unit_Cost]])</f>
        <v>335.38000000000011</v>
      </c>
      <c r="O289" s="7"/>
      <c r="P289" s="7"/>
      <c r="Q289" s="7"/>
      <c r="S289"/>
    </row>
    <row r="290" spans="1:19" x14ac:dyDescent="0.3">
      <c r="A290" s="1">
        <v>1060</v>
      </c>
      <c r="B290" s="2">
        <v>45150</v>
      </c>
      <c r="C290" s="1" t="s">
        <v>22</v>
      </c>
      <c r="D290" s="1" t="s">
        <v>45</v>
      </c>
      <c r="E290" s="1">
        <v>1756.48</v>
      </c>
      <c r="F290" s="1">
        <v>5</v>
      </c>
      <c r="G290" s="1" t="s">
        <v>16</v>
      </c>
      <c r="H290" s="1">
        <v>3970.08</v>
      </c>
      <c r="I290" s="1">
        <v>4096.4799999999996</v>
      </c>
      <c r="J290" s="1" t="s">
        <v>17</v>
      </c>
      <c r="K290" s="1">
        <v>0.13</v>
      </c>
      <c r="L290" s="1" t="s">
        <v>18</v>
      </c>
      <c r="M290" s="1" t="s">
        <v>21</v>
      </c>
      <c r="N290" s="1">
        <f>SUM(Table3[[#This Row],[Unit_Price]]-Table3[[#This Row],[Unit_Cost]])</f>
        <v>126.39999999999964</v>
      </c>
      <c r="O290" s="7"/>
      <c r="P290" s="7"/>
      <c r="Q290" s="7"/>
      <c r="S290"/>
    </row>
    <row r="291" spans="1:19" x14ac:dyDescent="0.3">
      <c r="A291" s="1">
        <v>1002</v>
      </c>
      <c r="B291" s="2">
        <v>45067</v>
      </c>
      <c r="C291" s="1" t="s">
        <v>29</v>
      </c>
      <c r="D291" s="1" t="s">
        <v>46</v>
      </c>
      <c r="E291" s="1">
        <v>7828.25</v>
      </c>
      <c r="F291" s="1">
        <v>26</v>
      </c>
      <c r="G291" s="1" t="s">
        <v>26</v>
      </c>
      <c r="H291" s="1">
        <v>2041.42</v>
      </c>
      <c r="I291" s="1">
        <v>2291.17</v>
      </c>
      <c r="J291" s="1" t="s">
        <v>17</v>
      </c>
      <c r="K291" s="1">
        <v>0.28000000000000003</v>
      </c>
      <c r="L291" s="1" t="s">
        <v>18</v>
      </c>
      <c r="M291" s="1" t="s">
        <v>19</v>
      </c>
      <c r="N291" s="1">
        <f>SUM(Table3[[#This Row],[Unit_Price]]-Table3[[#This Row],[Unit_Cost]])</f>
        <v>249.75</v>
      </c>
      <c r="O291" s="7"/>
      <c r="P291" s="7"/>
      <c r="Q291" s="7"/>
      <c r="S291"/>
    </row>
    <row r="292" spans="1:19" x14ac:dyDescent="0.3">
      <c r="A292" s="1">
        <v>1001</v>
      </c>
      <c r="B292" s="2">
        <v>45141</v>
      </c>
      <c r="C292" s="1" t="s">
        <v>14</v>
      </c>
      <c r="D292" s="1" t="s">
        <v>47</v>
      </c>
      <c r="E292" s="1">
        <v>5879.35</v>
      </c>
      <c r="F292" s="1">
        <v>20</v>
      </c>
      <c r="G292" s="1" t="s">
        <v>24</v>
      </c>
      <c r="H292" s="1">
        <v>2153.52</v>
      </c>
      <c r="I292" s="1">
        <v>2303.6999999999998</v>
      </c>
      <c r="J292" s="1" t="s">
        <v>17</v>
      </c>
      <c r="K292" s="1">
        <v>0.01</v>
      </c>
      <c r="L292" s="1" t="s">
        <v>18</v>
      </c>
      <c r="M292" s="1" t="s">
        <v>21</v>
      </c>
      <c r="N292" s="1">
        <f>SUM(Table3[[#This Row],[Unit_Price]]-Table3[[#This Row],[Unit_Cost]])</f>
        <v>150.17999999999984</v>
      </c>
      <c r="O292" s="7"/>
      <c r="P292" s="7"/>
      <c r="Q292" s="7"/>
      <c r="S292"/>
    </row>
    <row r="293" spans="1:19" x14ac:dyDescent="0.3">
      <c r="A293" s="1">
        <v>1048</v>
      </c>
      <c r="B293" s="2">
        <v>45137</v>
      </c>
      <c r="C293" s="1" t="s">
        <v>33</v>
      </c>
      <c r="D293" s="1" t="s">
        <v>48</v>
      </c>
      <c r="E293" s="1">
        <v>9527</v>
      </c>
      <c r="F293" s="1">
        <v>6</v>
      </c>
      <c r="G293" s="1" t="s">
        <v>16</v>
      </c>
      <c r="H293" s="1">
        <v>1945.27</v>
      </c>
      <c r="I293" s="1">
        <v>2309.4299999999998</v>
      </c>
      <c r="J293" s="1" t="s">
        <v>27</v>
      </c>
      <c r="K293" s="1">
        <v>0.26</v>
      </c>
      <c r="L293" s="1" t="s">
        <v>28</v>
      </c>
      <c r="M293" s="1" t="s">
        <v>19</v>
      </c>
      <c r="N293" s="1">
        <f>SUM(Table3[[#This Row],[Unit_Price]]-Table3[[#This Row],[Unit_Cost]])</f>
        <v>364.15999999999985</v>
      </c>
      <c r="O293" s="7"/>
      <c r="P293" s="7"/>
      <c r="Q293" s="7"/>
      <c r="S293"/>
    </row>
    <row r="294" spans="1:19" x14ac:dyDescent="0.3">
      <c r="A294" s="1">
        <v>1012</v>
      </c>
      <c r="B294" s="2">
        <v>45244</v>
      </c>
      <c r="C294" s="1" t="s">
        <v>32</v>
      </c>
      <c r="D294" s="1" t="s">
        <v>49</v>
      </c>
      <c r="E294" s="1">
        <v>519.98</v>
      </c>
      <c r="F294" s="1">
        <v>6</v>
      </c>
      <c r="G294" s="1" t="s">
        <v>26</v>
      </c>
      <c r="H294" s="1">
        <v>3609.42</v>
      </c>
      <c r="I294" s="1">
        <v>4082.62</v>
      </c>
      <c r="J294" s="1" t="s">
        <v>17</v>
      </c>
      <c r="K294" s="1">
        <v>0.3</v>
      </c>
      <c r="L294" s="1" t="s">
        <v>25</v>
      </c>
      <c r="M294" s="1" t="s">
        <v>21</v>
      </c>
      <c r="N294" s="1">
        <f>SUM(Table3[[#This Row],[Unit_Price]]-Table3[[#This Row],[Unit_Cost]])</f>
        <v>473.19999999999982</v>
      </c>
      <c r="O294" s="7"/>
      <c r="P294" s="7"/>
      <c r="Q294" s="7"/>
      <c r="S294"/>
    </row>
    <row r="295" spans="1:19" x14ac:dyDescent="0.3">
      <c r="A295" s="1">
        <v>1069</v>
      </c>
      <c r="B295" s="2">
        <v>44958</v>
      </c>
      <c r="C295" s="1" t="s">
        <v>32</v>
      </c>
      <c r="D295" s="1" t="s">
        <v>50</v>
      </c>
      <c r="E295" s="1">
        <v>2726.73</v>
      </c>
      <c r="F295" s="1">
        <v>18</v>
      </c>
      <c r="G295" s="1" t="s">
        <v>16</v>
      </c>
      <c r="H295" s="1">
        <v>2760.21</v>
      </c>
      <c r="I295" s="1">
        <v>3219.58</v>
      </c>
      <c r="J295" s="1" t="s">
        <v>27</v>
      </c>
      <c r="K295" s="1">
        <v>0.27</v>
      </c>
      <c r="L295" s="1" t="s">
        <v>25</v>
      </c>
      <c r="M295" s="1" t="s">
        <v>21</v>
      </c>
      <c r="N295" s="1">
        <f>SUM(Table3[[#This Row],[Unit_Price]]-Table3[[#This Row],[Unit_Cost]])</f>
        <v>459.36999999999989</v>
      </c>
      <c r="O295" s="7"/>
      <c r="P295" s="7"/>
      <c r="Q295" s="7"/>
      <c r="S295"/>
    </row>
    <row r="296" spans="1:19" x14ac:dyDescent="0.3">
      <c r="A296" s="1">
        <v>1037</v>
      </c>
      <c r="B296" s="2">
        <v>45084</v>
      </c>
      <c r="C296" s="1" t="s">
        <v>33</v>
      </c>
      <c r="D296" s="1" t="s">
        <v>44</v>
      </c>
      <c r="E296" s="1">
        <v>6055.38</v>
      </c>
      <c r="F296" s="1">
        <v>4</v>
      </c>
      <c r="G296" s="1" t="s">
        <v>24</v>
      </c>
      <c r="H296" s="1">
        <v>4721.7</v>
      </c>
      <c r="I296" s="1">
        <v>5017.58</v>
      </c>
      <c r="J296" s="1" t="s">
        <v>27</v>
      </c>
      <c r="K296" s="1">
        <v>0.24</v>
      </c>
      <c r="L296" s="1" t="s">
        <v>18</v>
      </c>
      <c r="M296" s="1" t="s">
        <v>21</v>
      </c>
      <c r="N296" s="1">
        <f>SUM(Table3[[#This Row],[Unit_Price]]-Table3[[#This Row],[Unit_Cost]])</f>
        <v>295.88000000000011</v>
      </c>
      <c r="O296" s="7"/>
      <c r="P296" s="7"/>
      <c r="Q296" s="7"/>
      <c r="S296"/>
    </row>
    <row r="297" spans="1:19" x14ac:dyDescent="0.3">
      <c r="A297" s="1">
        <v>1032</v>
      </c>
      <c r="B297" s="2">
        <v>45211</v>
      </c>
      <c r="C297" s="1" t="s">
        <v>33</v>
      </c>
      <c r="D297" s="1" t="s">
        <v>45</v>
      </c>
      <c r="E297" s="1">
        <v>3035.94</v>
      </c>
      <c r="F297" s="1">
        <v>17</v>
      </c>
      <c r="G297" s="1" t="s">
        <v>26</v>
      </c>
      <c r="H297" s="1">
        <v>1291.9100000000001</v>
      </c>
      <c r="I297" s="1">
        <v>1528.59</v>
      </c>
      <c r="J297" s="1" t="s">
        <v>17</v>
      </c>
      <c r="K297" s="1">
        <v>0.11</v>
      </c>
      <c r="L297" s="1" t="s">
        <v>28</v>
      </c>
      <c r="M297" s="1" t="s">
        <v>21</v>
      </c>
      <c r="N297" s="1">
        <f>SUM(Table3[[#This Row],[Unit_Price]]-Table3[[#This Row],[Unit_Cost]])</f>
        <v>236.67999999999984</v>
      </c>
      <c r="O297" s="7"/>
      <c r="P297" s="7"/>
      <c r="Q297" s="7"/>
      <c r="S297"/>
    </row>
    <row r="298" spans="1:19" x14ac:dyDescent="0.3">
      <c r="A298" s="1">
        <v>1009</v>
      </c>
      <c r="B298" s="2">
        <v>45231</v>
      </c>
      <c r="C298" s="1" t="s">
        <v>14</v>
      </c>
      <c r="D298" s="1" t="s">
        <v>46</v>
      </c>
      <c r="E298" s="1">
        <v>7172.8</v>
      </c>
      <c r="F298" s="1">
        <v>14</v>
      </c>
      <c r="G298" s="1" t="s">
        <v>24</v>
      </c>
      <c r="H298" s="1">
        <v>547.79</v>
      </c>
      <c r="I298" s="1">
        <v>958.76</v>
      </c>
      <c r="J298" s="1" t="s">
        <v>17</v>
      </c>
      <c r="K298" s="1">
        <v>7.0000000000000007E-2</v>
      </c>
      <c r="L298" s="1" t="s">
        <v>28</v>
      </c>
      <c r="M298" s="1" t="s">
        <v>21</v>
      </c>
      <c r="N298" s="1">
        <f>SUM(Table3[[#This Row],[Unit_Price]]-Table3[[#This Row],[Unit_Cost]])</f>
        <v>410.97</v>
      </c>
      <c r="O298" s="7"/>
      <c r="P298" s="7"/>
      <c r="Q298" s="7"/>
      <c r="S298"/>
    </row>
    <row r="299" spans="1:19" x14ac:dyDescent="0.3">
      <c r="A299" s="1">
        <v>1099</v>
      </c>
      <c r="B299" s="2">
        <v>45212</v>
      </c>
      <c r="C299" s="1" t="s">
        <v>29</v>
      </c>
      <c r="D299" s="1" t="s">
        <v>47</v>
      </c>
      <c r="E299" s="1">
        <v>7614.15</v>
      </c>
      <c r="F299" s="1">
        <v>14</v>
      </c>
      <c r="G299" s="1" t="s">
        <v>24</v>
      </c>
      <c r="H299" s="1">
        <v>1996.64</v>
      </c>
      <c r="I299" s="1">
        <v>2341.4699999999998</v>
      </c>
      <c r="J299" s="1" t="s">
        <v>17</v>
      </c>
      <c r="K299" s="1">
        <v>0.22</v>
      </c>
      <c r="L299" s="1" t="s">
        <v>28</v>
      </c>
      <c r="M299" s="1" t="s">
        <v>19</v>
      </c>
      <c r="N299" s="1">
        <f>SUM(Table3[[#This Row],[Unit_Price]]-Table3[[#This Row],[Unit_Cost]])</f>
        <v>344.8299999999997</v>
      </c>
      <c r="O299" s="7"/>
      <c r="P299" s="7"/>
      <c r="Q299" s="7"/>
      <c r="S299"/>
    </row>
    <row r="300" spans="1:19" x14ac:dyDescent="0.3">
      <c r="A300" s="1">
        <v>1019</v>
      </c>
      <c r="B300" s="2">
        <v>45070</v>
      </c>
      <c r="C300" s="1" t="s">
        <v>32</v>
      </c>
      <c r="D300" s="1" t="s">
        <v>48</v>
      </c>
      <c r="E300" s="1">
        <v>1114.9100000000001</v>
      </c>
      <c r="F300" s="1">
        <v>13</v>
      </c>
      <c r="G300" s="1" t="s">
        <v>24</v>
      </c>
      <c r="H300" s="1">
        <v>3102.73</v>
      </c>
      <c r="I300" s="1">
        <v>3202.68</v>
      </c>
      <c r="J300" s="1" t="s">
        <v>27</v>
      </c>
      <c r="K300" s="1">
        <v>0.09</v>
      </c>
      <c r="L300" s="1" t="s">
        <v>18</v>
      </c>
      <c r="M300" s="1" t="s">
        <v>19</v>
      </c>
      <c r="N300" s="1">
        <f>SUM(Table3[[#This Row],[Unit_Price]]-Table3[[#This Row],[Unit_Cost]])</f>
        <v>99.949999999999818</v>
      </c>
      <c r="O300" s="7"/>
      <c r="P300" s="7"/>
      <c r="Q300" s="7"/>
      <c r="S300"/>
    </row>
    <row r="301" spans="1:19" x14ac:dyDescent="0.3">
      <c r="A301" s="1">
        <v>1048</v>
      </c>
      <c r="B301" s="2">
        <v>44945</v>
      </c>
      <c r="C301" s="1" t="s">
        <v>14</v>
      </c>
      <c r="D301" s="1" t="s">
        <v>49</v>
      </c>
      <c r="E301" s="1">
        <v>5187.16</v>
      </c>
      <c r="F301" s="1">
        <v>7</v>
      </c>
      <c r="G301" s="1" t="s">
        <v>26</v>
      </c>
      <c r="H301" s="1">
        <v>4310.95</v>
      </c>
      <c r="I301" s="1">
        <v>4723.2</v>
      </c>
      <c r="J301" s="1" t="s">
        <v>17</v>
      </c>
      <c r="K301" s="1">
        <v>0.05</v>
      </c>
      <c r="L301" s="1" t="s">
        <v>28</v>
      </c>
      <c r="M301" s="1" t="s">
        <v>21</v>
      </c>
      <c r="N301" s="1">
        <f>SUM(Table3[[#This Row],[Unit_Price]]-Table3[[#This Row],[Unit_Cost]])</f>
        <v>412.25</v>
      </c>
      <c r="O301" s="7"/>
      <c r="P301" s="7"/>
      <c r="Q301" s="7"/>
      <c r="S301"/>
    </row>
    <row r="302" spans="1:19" x14ac:dyDescent="0.3">
      <c r="A302" s="1">
        <v>1080</v>
      </c>
      <c r="B302" s="2">
        <v>44944</v>
      </c>
      <c r="C302" s="1" t="s">
        <v>29</v>
      </c>
      <c r="D302" s="1" t="s">
        <v>50</v>
      </c>
      <c r="E302" s="1">
        <v>5138.0200000000004</v>
      </c>
      <c r="F302" s="1">
        <v>44</v>
      </c>
      <c r="G302" s="1" t="s">
        <v>31</v>
      </c>
      <c r="H302" s="1">
        <v>1763.67</v>
      </c>
      <c r="I302" s="1">
        <v>1983.82</v>
      </c>
      <c r="J302" s="1" t="s">
        <v>27</v>
      </c>
      <c r="K302" s="1">
        <v>0.24</v>
      </c>
      <c r="L302" s="1" t="s">
        <v>28</v>
      </c>
      <c r="M302" s="1" t="s">
        <v>19</v>
      </c>
      <c r="N302" s="1">
        <f>SUM(Table3[[#This Row],[Unit_Price]]-Table3[[#This Row],[Unit_Cost]])</f>
        <v>220.14999999999986</v>
      </c>
      <c r="O302" s="7"/>
      <c r="P302" s="7"/>
      <c r="Q302" s="7"/>
      <c r="S302"/>
    </row>
    <row r="303" spans="1:19" x14ac:dyDescent="0.3">
      <c r="A303" s="1">
        <v>1003</v>
      </c>
      <c r="B303" s="2">
        <v>45183</v>
      </c>
      <c r="C303" s="1" t="s">
        <v>14</v>
      </c>
      <c r="D303" s="1" t="s">
        <v>44</v>
      </c>
      <c r="E303" s="1">
        <v>3755.88</v>
      </c>
      <c r="F303" s="1">
        <v>15</v>
      </c>
      <c r="G303" s="1" t="s">
        <v>26</v>
      </c>
      <c r="H303" s="1">
        <v>3286.24</v>
      </c>
      <c r="I303" s="1">
        <v>3388.8399999999901</v>
      </c>
      <c r="J303" s="1" t="s">
        <v>17</v>
      </c>
      <c r="K303" s="1">
        <v>0.09</v>
      </c>
      <c r="L303" s="1" t="s">
        <v>28</v>
      </c>
      <c r="M303" s="1" t="s">
        <v>21</v>
      </c>
      <c r="N303" s="1">
        <f>SUM(Table3[[#This Row],[Unit_Price]]-Table3[[#This Row],[Unit_Cost]])</f>
        <v>102.59999999999036</v>
      </c>
      <c r="O303" s="7"/>
      <c r="P303" s="7"/>
      <c r="Q303" s="7"/>
      <c r="S303"/>
    </row>
    <row r="304" spans="1:19" x14ac:dyDescent="0.3">
      <c r="A304" s="1">
        <v>1020</v>
      </c>
      <c r="B304" s="2">
        <v>45004</v>
      </c>
      <c r="C304" s="1" t="s">
        <v>32</v>
      </c>
      <c r="D304" s="1" t="s">
        <v>45</v>
      </c>
      <c r="E304" s="1">
        <v>9335.9599999999991</v>
      </c>
      <c r="F304" s="1">
        <v>19</v>
      </c>
      <c r="G304" s="1" t="s">
        <v>24</v>
      </c>
      <c r="H304" s="1">
        <v>1783.48</v>
      </c>
      <c r="I304" s="1">
        <v>1931.56</v>
      </c>
      <c r="J304" s="1" t="s">
        <v>17</v>
      </c>
      <c r="K304" s="1">
        <v>0.27</v>
      </c>
      <c r="L304" s="1" t="s">
        <v>25</v>
      </c>
      <c r="M304" s="1" t="s">
        <v>21</v>
      </c>
      <c r="N304" s="1">
        <f>SUM(Table3[[#This Row],[Unit_Price]]-Table3[[#This Row],[Unit_Cost]])</f>
        <v>148.07999999999993</v>
      </c>
      <c r="O304" s="7"/>
      <c r="P304" s="7"/>
      <c r="Q304" s="7"/>
      <c r="S304"/>
    </row>
    <row r="305" spans="1:19" x14ac:dyDescent="0.3">
      <c r="A305" s="1">
        <v>1024</v>
      </c>
      <c r="B305" s="2">
        <v>45101</v>
      </c>
      <c r="C305" s="1" t="s">
        <v>33</v>
      </c>
      <c r="D305" s="1" t="s">
        <v>46</v>
      </c>
      <c r="E305" s="1">
        <v>8292.31</v>
      </c>
      <c r="F305" s="1">
        <v>43</v>
      </c>
      <c r="G305" s="1" t="s">
        <v>26</v>
      </c>
      <c r="H305" s="1">
        <v>3105.24</v>
      </c>
      <c r="I305" s="1">
        <v>3246.33</v>
      </c>
      <c r="J305" s="1" t="s">
        <v>27</v>
      </c>
      <c r="K305" s="1">
        <v>0.25</v>
      </c>
      <c r="L305" s="1" t="s">
        <v>18</v>
      </c>
      <c r="M305" s="1" t="s">
        <v>19</v>
      </c>
      <c r="N305" s="1">
        <f>SUM(Table3[[#This Row],[Unit_Price]]-Table3[[#This Row],[Unit_Cost]])</f>
        <v>141.09000000000015</v>
      </c>
      <c r="O305" s="7"/>
      <c r="P305" s="7"/>
      <c r="Q305" s="7"/>
      <c r="S305"/>
    </row>
    <row r="306" spans="1:19" x14ac:dyDescent="0.3">
      <c r="A306" s="1">
        <v>1054</v>
      </c>
      <c r="B306" s="2">
        <v>45120</v>
      </c>
      <c r="C306" s="1" t="s">
        <v>33</v>
      </c>
      <c r="D306" s="1" t="s">
        <v>47</v>
      </c>
      <c r="E306" s="1">
        <v>7002.37</v>
      </c>
      <c r="F306" s="1">
        <v>47</v>
      </c>
      <c r="G306" s="1" t="s">
        <v>24</v>
      </c>
      <c r="H306" s="1">
        <v>4429.8</v>
      </c>
      <c r="I306" s="1">
        <v>4694.21</v>
      </c>
      <c r="J306" s="1" t="s">
        <v>27</v>
      </c>
      <c r="K306" s="1">
        <v>0.25</v>
      </c>
      <c r="L306" s="1" t="s">
        <v>25</v>
      </c>
      <c r="M306" s="1" t="s">
        <v>19</v>
      </c>
      <c r="N306" s="1">
        <f>SUM(Table3[[#This Row],[Unit_Price]]-Table3[[#This Row],[Unit_Cost]])</f>
        <v>264.40999999999985</v>
      </c>
      <c r="O306" s="7"/>
      <c r="P306" s="7"/>
      <c r="Q306" s="7"/>
      <c r="S306"/>
    </row>
    <row r="307" spans="1:19" x14ac:dyDescent="0.3">
      <c r="A307" s="1">
        <v>1033</v>
      </c>
      <c r="B307" s="2">
        <v>45039</v>
      </c>
      <c r="C307" s="1" t="s">
        <v>29</v>
      </c>
      <c r="D307" s="1" t="s">
        <v>48</v>
      </c>
      <c r="E307" s="1">
        <v>7171.83</v>
      </c>
      <c r="F307" s="1">
        <v>44</v>
      </c>
      <c r="G307" s="1" t="s">
        <v>31</v>
      </c>
      <c r="H307" s="1">
        <v>1195.22</v>
      </c>
      <c r="I307" s="1">
        <v>1320.06</v>
      </c>
      <c r="J307" s="1" t="s">
        <v>17</v>
      </c>
      <c r="K307" s="1">
        <v>0.23</v>
      </c>
      <c r="L307" s="1" t="s">
        <v>25</v>
      </c>
      <c r="M307" s="1" t="s">
        <v>21</v>
      </c>
      <c r="N307" s="1">
        <f>SUM(Table3[[#This Row],[Unit_Price]]-Table3[[#This Row],[Unit_Cost]])</f>
        <v>124.83999999999992</v>
      </c>
      <c r="O307" s="7"/>
      <c r="P307" s="7"/>
      <c r="Q307" s="7"/>
      <c r="S307"/>
    </row>
    <row r="308" spans="1:19" x14ac:dyDescent="0.3">
      <c r="A308" s="1">
        <v>1024</v>
      </c>
      <c r="B308" s="2">
        <v>45040</v>
      </c>
      <c r="C308" s="1" t="s">
        <v>22</v>
      </c>
      <c r="D308" s="1" t="s">
        <v>49</v>
      </c>
      <c r="E308" s="1">
        <v>4670.99</v>
      </c>
      <c r="F308" s="1">
        <v>35</v>
      </c>
      <c r="G308" s="1" t="s">
        <v>16</v>
      </c>
      <c r="H308" s="1">
        <v>2051</v>
      </c>
      <c r="I308" s="1">
        <v>2121.5500000000002</v>
      </c>
      <c r="J308" s="1" t="s">
        <v>17</v>
      </c>
      <c r="K308" s="1">
        <v>0.26</v>
      </c>
      <c r="L308" s="1" t="s">
        <v>18</v>
      </c>
      <c r="M308" s="1" t="s">
        <v>21</v>
      </c>
      <c r="N308" s="1">
        <f>SUM(Table3[[#This Row],[Unit_Price]]-Table3[[#This Row],[Unit_Cost]])</f>
        <v>70.550000000000182</v>
      </c>
      <c r="O308" s="7"/>
      <c r="P308" s="7"/>
      <c r="Q308" s="7"/>
      <c r="S308"/>
    </row>
    <row r="309" spans="1:19" x14ac:dyDescent="0.3">
      <c r="A309" s="1">
        <v>1075</v>
      </c>
      <c r="B309" s="2">
        <v>45148</v>
      </c>
      <c r="C309" s="1" t="s">
        <v>29</v>
      </c>
      <c r="D309" s="1" t="s">
        <v>50</v>
      </c>
      <c r="E309" s="1">
        <v>9217.85</v>
      </c>
      <c r="F309" s="1">
        <v>17</v>
      </c>
      <c r="G309" s="1" t="s">
        <v>31</v>
      </c>
      <c r="H309" s="1">
        <v>4966.66</v>
      </c>
      <c r="I309" s="1">
        <v>5037.2699999999904</v>
      </c>
      <c r="J309" s="1" t="s">
        <v>17</v>
      </c>
      <c r="K309" s="1">
        <v>0.24</v>
      </c>
      <c r="L309" s="1" t="s">
        <v>25</v>
      </c>
      <c r="M309" s="1" t="s">
        <v>21</v>
      </c>
      <c r="N309" s="1">
        <f>SUM(Table3[[#This Row],[Unit_Price]]-Table3[[#This Row],[Unit_Cost]])</f>
        <v>70.609999999990578</v>
      </c>
      <c r="O309" s="7"/>
      <c r="P309" s="7"/>
      <c r="Q309" s="7"/>
      <c r="S309"/>
    </row>
    <row r="310" spans="1:19" x14ac:dyDescent="0.3">
      <c r="A310" s="1">
        <v>1072</v>
      </c>
      <c r="B310" s="2">
        <v>45092</v>
      </c>
      <c r="C310" s="1" t="s">
        <v>22</v>
      </c>
      <c r="D310" s="1" t="s">
        <v>44</v>
      </c>
      <c r="E310" s="1">
        <v>6976.49</v>
      </c>
      <c r="F310" s="1">
        <v>35</v>
      </c>
      <c r="G310" s="1" t="s">
        <v>31</v>
      </c>
      <c r="H310" s="1">
        <v>4349.3599999999997</v>
      </c>
      <c r="I310" s="1">
        <v>4645.17</v>
      </c>
      <c r="J310" s="1" t="s">
        <v>17</v>
      </c>
      <c r="K310" s="1">
        <v>0.18</v>
      </c>
      <c r="L310" s="1" t="s">
        <v>28</v>
      </c>
      <c r="M310" s="1" t="s">
        <v>21</v>
      </c>
      <c r="N310" s="1">
        <f>SUM(Table3[[#This Row],[Unit_Price]]-Table3[[#This Row],[Unit_Cost]])</f>
        <v>295.8100000000004</v>
      </c>
      <c r="O310" s="7"/>
      <c r="P310" s="7"/>
      <c r="Q310" s="7"/>
      <c r="S310"/>
    </row>
    <row r="311" spans="1:19" x14ac:dyDescent="0.3">
      <c r="A311" s="1">
        <v>1036</v>
      </c>
      <c r="B311" s="2">
        <v>45245</v>
      </c>
      <c r="C311" s="1" t="s">
        <v>14</v>
      </c>
      <c r="D311" s="1" t="s">
        <v>45</v>
      </c>
      <c r="E311" s="1">
        <v>7316.91</v>
      </c>
      <c r="F311" s="1">
        <v>19</v>
      </c>
      <c r="G311" s="1" t="s">
        <v>16</v>
      </c>
      <c r="H311" s="1">
        <v>2844.97</v>
      </c>
      <c r="I311" s="1">
        <v>3215</v>
      </c>
      <c r="J311" s="1" t="s">
        <v>17</v>
      </c>
      <c r="K311" s="1">
        <v>0.09</v>
      </c>
      <c r="L311" s="1" t="s">
        <v>28</v>
      </c>
      <c r="M311" s="1" t="s">
        <v>21</v>
      </c>
      <c r="N311" s="1">
        <f>SUM(Table3[[#This Row],[Unit_Price]]-Table3[[#This Row],[Unit_Cost]])</f>
        <v>370.0300000000002</v>
      </c>
      <c r="O311" s="7"/>
      <c r="P311" s="7"/>
      <c r="Q311" s="7"/>
      <c r="S311"/>
    </row>
    <row r="312" spans="1:19" x14ac:dyDescent="0.3">
      <c r="A312" s="1">
        <v>1038</v>
      </c>
      <c r="B312" s="2">
        <v>45058</v>
      </c>
      <c r="C312" s="1" t="s">
        <v>14</v>
      </c>
      <c r="D312" s="1" t="s">
        <v>46</v>
      </c>
      <c r="E312" s="1">
        <v>8630.74</v>
      </c>
      <c r="F312" s="1">
        <v>20</v>
      </c>
      <c r="G312" s="1" t="s">
        <v>26</v>
      </c>
      <c r="H312" s="1">
        <v>2607.31</v>
      </c>
      <c r="I312" s="1">
        <v>2774.86</v>
      </c>
      <c r="J312" s="1" t="s">
        <v>27</v>
      </c>
      <c r="K312" s="1">
        <v>0.27</v>
      </c>
      <c r="L312" s="1" t="s">
        <v>28</v>
      </c>
      <c r="M312" s="1" t="s">
        <v>21</v>
      </c>
      <c r="N312" s="1">
        <f>SUM(Table3[[#This Row],[Unit_Price]]-Table3[[#This Row],[Unit_Cost]])</f>
        <v>167.55000000000018</v>
      </c>
      <c r="O312" s="7"/>
      <c r="P312" s="7"/>
      <c r="Q312" s="7"/>
      <c r="S312"/>
    </row>
    <row r="313" spans="1:19" x14ac:dyDescent="0.3">
      <c r="A313" s="1">
        <v>1084</v>
      </c>
      <c r="B313" s="2">
        <v>45190</v>
      </c>
      <c r="C313" s="1" t="s">
        <v>32</v>
      </c>
      <c r="D313" s="1" t="s">
        <v>47</v>
      </c>
      <c r="E313" s="1">
        <v>2813.31</v>
      </c>
      <c r="F313" s="1">
        <v>36</v>
      </c>
      <c r="G313" s="1" t="s">
        <v>16</v>
      </c>
      <c r="H313" s="1">
        <v>1458.77</v>
      </c>
      <c r="I313" s="1">
        <v>1485.75</v>
      </c>
      <c r="J313" s="1" t="s">
        <v>27</v>
      </c>
      <c r="K313" s="1">
        <v>0.25</v>
      </c>
      <c r="L313" s="1" t="s">
        <v>28</v>
      </c>
      <c r="M313" s="1" t="s">
        <v>19</v>
      </c>
      <c r="N313" s="1">
        <f>SUM(Table3[[#This Row],[Unit_Price]]-Table3[[#This Row],[Unit_Cost]])</f>
        <v>26.980000000000018</v>
      </c>
      <c r="O313" s="7"/>
      <c r="P313" s="7"/>
      <c r="Q313" s="7"/>
      <c r="S313"/>
    </row>
    <row r="314" spans="1:19" x14ac:dyDescent="0.3">
      <c r="A314" s="1">
        <v>1099</v>
      </c>
      <c r="B314" s="2">
        <v>44981</v>
      </c>
      <c r="C314" s="1" t="s">
        <v>22</v>
      </c>
      <c r="D314" s="1" t="s">
        <v>48</v>
      </c>
      <c r="E314" s="1">
        <v>8090</v>
      </c>
      <c r="F314" s="1">
        <v>35</v>
      </c>
      <c r="G314" s="1" t="s">
        <v>26</v>
      </c>
      <c r="H314" s="1">
        <v>2610.19</v>
      </c>
      <c r="I314" s="1">
        <v>2682.53</v>
      </c>
      <c r="J314" s="1" t="s">
        <v>27</v>
      </c>
      <c r="K314" s="1">
        <v>0.14000000000000001</v>
      </c>
      <c r="L314" s="1" t="s">
        <v>18</v>
      </c>
      <c r="M314" s="1" t="s">
        <v>21</v>
      </c>
      <c r="N314" s="1">
        <f>SUM(Table3[[#This Row],[Unit_Price]]-Table3[[#This Row],[Unit_Cost]])</f>
        <v>72.340000000000146</v>
      </c>
      <c r="O314" s="7"/>
      <c r="P314" s="7"/>
      <c r="Q314" s="7"/>
      <c r="S314"/>
    </row>
    <row r="315" spans="1:19" x14ac:dyDescent="0.3">
      <c r="A315" s="1">
        <v>1089</v>
      </c>
      <c r="B315" s="2">
        <v>45285</v>
      </c>
      <c r="C315" s="1" t="s">
        <v>32</v>
      </c>
      <c r="D315" s="1" t="s">
        <v>49</v>
      </c>
      <c r="E315" s="1">
        <v>2032.88</v>
      </c>
      <c r="F315" s="1">
        <v>32</v>
      </c>
      <c r="G315" s="1" t="s">
        <v>26</v>
      </c>
      <c r="H315" s="1">
        <v>4248.5</v>
      </c>
      <c r="I315" s="1">
        <v>4706.7</v>
      </c>
      <c r="J315" s="1" t="s">
        <v>27</v>
      </c>
      <c r="K315" s="1">
        <v>0.01</v>
      </c>
      <c r="L315" s="1" t="s">
        <v>25</v>
      </c>
      <c r="M315" s="1" t="s">
        <v>21</v>
      </c>
      <c r="N315" s="1">
        <f>SUM(Table3[[#This Row],[Unit_Price]]-Table3[[#This Row],[Unit_Cost]])</f>
        <v>458.19999999999982</v>
      </c>
      <c r="O315" s="7"/>
      <c r="P315" s="7"/>
      <c r="Q315" s="7"/>
      <c r="S315"/>
    </row>
    <row r="316" spans="1:19" x14ac:dyDescent="0.3">
      <c r="A316" s="1">
        <v>1099</v>
      </c>
      <c r="B316" s="2">
        <v>45057</v>
      </c>
      <c r="C316" s="1" t="s">
        <v>33</v>
      </c>
      <c r="D316" s="1" t="s">
        <v>50</v>
      </c>
      <c r="E316" s="1">
        <v>3518.89</v>
      </c>
      <c r="F316" s="1">
        <v>48</v>
      </c>
      <c r="G316" s="1" t="s">
        <v>24</v>
      </c>
      <c r="H316" s="1">
        <v>3441.61</v>
      </c>
      <c r="I316" s="1">
        <v>3693.45</v>
      </c>
      <c r="J316" s="1" t="s">
        <v>17</v>
      </c>
      <c r="K316" s="1">
        <v>0.19</v>
      </c>
      <c r="L316" s="1" t="s">
        <v>25</v>
      </c>
      <c r="M316" s="1" t="s">
        <v>19</v>
      </c>
      <c r="N316" s="1">
        <f>SUM(Table3[[#This Row],[Unit_Price]]-Table3[[#This Row],[Unit_Cost]])</f>
        <v>251.83999999999969</v>
      </c>
      <c r="O316" s="7"/>
      <c r="P316" s="7"/>
      <c r="Q316" s="7"/>
      <c r="S316"/>
    </row>
    <row r="317" spans="1:19" x14ac:dyDescent="0.3">
      <c r="A317" s="1">
        <v>1025</v>
      </c>
      <c r="B317" s="2">
        <v>45214</v>
      </c>
      <c r="C317" s="1" t="s">
        <v>22</v>
      </c>
      <c r="D317" s="1" t="s">
        <v>44</v>
      </c>
      <c r="E317" s="1">
        <v>3422.54</v>
      </c>
      <c r="F317" s="1">
        <v>44</v>
      </c>
      <c r="G317" s="1" t="s">
        <v>24</v>
      </c>
      <c r="H317" s="1">
        <v>1485.72</v>
      </c>
      <c r="I317" s="1">
        <v>1717.97</v>
      </c>
      <c r="J317" s="1" t="s">
        <v>27</v>
      </c>
      <c r="K317" s="1">
        <v>0.02</v>
      </c>
      <c r="L317" s="1" t="s">
        <v>28</v>
      </c>
      <c r="M317" s="1" t="s">
        <v>21</v>
      </c>
      <c r="N317" s="1">
        <f>SUM(Table3[[#This Row],[Unit_Price]]-Table3[[#This Row],[Unit_Cost]])</f>
        <v>232.25</v>
      </c>
      <c r="O317" s="7"/>
      <c r="P317" s="7"/>
      <c r="Q317" s="7"/>
      <c r="S317"/>
    </row>
    <row r="318" spans="1:19" x14ac:dyDescent="0.3">
      <c r="A318" s="1">
        <v>1093</v>
      </c>
      <c r="B318" s="2">
        <v>45192</v>
      </c>
      <c r="C318" s="1" t="s">
        <v>29</v>
      </c>
      <c r="D318" s="1" t="s">
        <v>45</v>
      </c>
      <c r="E318" s="1">
        <v>9787.4</v>
      </c>
      <c r="F318" s="1">
        <v>40</v>
      </c>
      <c r="G318" s="1" t="s">
        <v>16</v>
      </c>
      <c r="H318" s="1">
        <v>1047.25</v>
      </c>
      <c r="I318" s="1">
        <v>1075.8900000000001</v>
      </c>
      <c r="J318" s="1" t="s">
        <v>27</v>
      </c>
      <c r="K318" s="1">
        <v>0.28000000000000003</v>
      </c>
      <c r="L318" s="1" t="s">
        <v>28</v>
      </c>
      <c r="M318" s="1" t="s">
        <v>21</v>
      </c>
      <c r="N318" s="1">
        <f>SUM(Table3[[#This Row],[Unit_Price]]-Table3[[#This Row],[Unit_Cost]])</f>
        <v>28.6400000000001</v>
      </c>
      <c r="O318" s="7"/>
      <c r="P318" s="7"/>
      <c r="Q318" s="7"/>
      <c r="S318"/>
    </row>
    <row r="319" spans="1:19" x14ac:dyDescent="0.3">
      <c r="A319" s="1">
        <v>1018</v>
      </c>
      <c r="B319" s="2">
        <v>45292</v>
      </c>
      <c r="C319" s="1" t="s">
        <v>33</v>
      </c>
      <c r="D319" s="1" t="s">
        <v>46</v>
      </c>
      <c r="E319" s="1">
        <v>8579.7199999999993</v>
      </c>
      <c r="F319" s="1">
        <v>24</v>
      </c>
      <c r="G319" s="1" t="s">
        <v>31</v>
      </c>
      <c r="H319" s="1">
        <v>1362.78</v>
      </c>
      <c r="I319" s="1">
        <v>1729.81</v>
      </c>
      <c r="J319" s="1" t="s">
        <v>27</v>
      </c>
      <c r="K319" s="1">
        <v>0.28999999999999998</v>
      </c>
      <c r="L319" s="1" t="s">
        <v>25</v>
      </c>
      <c r="M319" s="1" t="s">
        <v>19</v>
      </c>
      <c r="N319" s="1">
        <f>SUM(Table3[[#This Row],[Unit_Price]]-Table3[[#This Row],[Unit_Cost]])</f>
        <v>367.03</v>
      </c>
      <c r="O319" s="7"/>
      <c r="P319" s="7"/>
      <c r="Q319" s="7"/>
      <c r="S319"/>
    </row>
    <row r="320" spans="1:19" x14ac:dyDescent="0.3">
      <c r="A320" s="1">
        <v>1082</v>
      </c>
      <c r="B320" s="2">
        <v>45088</v>
      </c>
      <c r="C320" s="1" t="s">
        <v>33</v>
      </c>
      <c r="D320" s="1" t="s">
        <v>47</v>
      </c>
      <c r="E320" s="1">
        <v>7041.58</v>
      </c>
      <c r="F320" s="1">
        <v>17</v>
      </c>
      <c r="G320" s="1" t="s">
        <v>16</v>
      </c>
      <c r="H320" s="1">
        <v>890.31</v>
      </c>
      <c r="I320" s="1">
        <v>1159.06</v>
      </c>
      <c r="J320" s="1" t="s">
        <v>17</v>
      </c>
      <c r="K320" s="1">
        <v>0.06</v>
      </c>
      <c r="L320" s="1" t="s">
        <v>18</v>
      </c>
      <c r="M320" s="1" t="s">
        <v>21</v>
      </c>
      <c r="N320" s="1">
        <f>SUM(Table3[[#This Row],[Unit_Price]]-Table3[[#This Row],[Unit_Cost]])</f>
        <v>268.75</v>
      </c>
      <c r="O320" s="7"/>
      <c r="P320" s="7"/>
      <c r="Q320" s="7"/>
      <c r="S320"/>
    </row>
    <row r="321" spans="1:19" x14ac:dyDescent="0.3">
      <c r="A321" s="1">
        <v>1066</v>
      </c>
      <c r="B321" s="2">
        <v>45013</v>
      </c>
      <c r="C321" s="1" t="s">
        <v>29</v>
      </c>
      <c r="D321" s="1" t="s">
        <v>48</v>
      </c>
      <c r="E321" s="1">
        <v>7297.86</v>
      </c>
      <c r="F321" s="1">
        <v>7</v>
      </c>
      <c r="G321" s="1" t="s">
        <v>26</v>
      </c>
      <c r="H321" s="1">
        <v>523.41999999999996</v>
      </c>
      <c r="I321" s="1">
        <v>632.43999999999903</v>
      </c>
      <c r="J321" s="1" t="s">
        <v>27</v>
      </c>
      <c r="K321" s="1">
        <v>0.2</v>
      </c>
      <c r="L321" s="1" t="s">
        <v>25</v>
      </c>
      <c r="M321" s="1" t="s">
        <v>19</v>
      </c>
      <c r="N321" s="1">
        <f>SUM(Table3[[#This Row],[Unit_Price]]-Table3[[#This Row],[Unit_Cost]])</f>
        <v>109.01999999999907</v>
      </c>
      <c r="O321" s="7"/>
      <c r="P321" s="7"/>
      <c r="Q321" s="7"/>
      <c r="S321"/>
    </row>
    <row r="322" spans="1:19" x14ac:dyDescent="0.3">
      <c r="A322" s="1">
        <v>1054</v>
      </c>
      <c r="B322" s="2">
        <v>44981</v>
      </c>
      <c r="C322" s="1" t="s">
        <v>33</v>
      </c>
      <c r="D322" s="1" t="s">
        <v>49</v>
      </c>
      <c r="E322" s="1">
        <v>5664.52</v>
      </c>
      <c r="F322" s="1">
        <v>43</v>
      </c>
      <c r="G322" s="1" t="s">
        <v>24</v>
      </c>
      <c r="H322" s="1">
        <v>2124.7199999999998</v>
      </c>
      <c r="I322" s="1">
        <v>2188.66</v>
      </c>
      <c r="J322" s="1" t="s">
        <v>17</v>
      </c>
      <c r="K322" s="1">
        <v>0.03</v>
      </c>
      <c r="L322" s="1" t="s">
        <v>28</v>
      </c>
      <c r="M322" s="1" t="s">
        <v>21</v>
      </c>
      <c r="N322" s="1">
        <f>SUM(Table3[[#This Row],[Unit_Price]]-Table3[[#This Row],[Unit_Cost]])</f>
        <v>63.940000000000055</v>
      </c>
      <c r="O322" s="7"/>
      <c r="P322" s="7"/>
      <c r="Q322" s="7"/>
      <c r="S322"/>
    </row>
    <row r="323" spans="1:19" x14ac:dyDescent="0.3">
      <c r="A323" s="1">
        <v>1035</v>
      </c>
      <c r="B323" s="2">
        <v>45214</v>
      </c>
      <c r="C323" s="1" t="s">
        <v>22</v>
      </c>
      <c r="D323" s="1" t="s">
        <v>50</v>
      </c>
      <c r="E323" s="1">
        <v>9476.2000000000007</v>
      </c>
      <c r="F323" s="1">
        <v>1</v>
      </c>
      <c r="G323" s="1" t="s">
        <v>16</v>
      </c>
      <c r="H323" s="1">
        <v>610.83000000000004</v>
      </c>
      <c r="I323" s="1">
        <v>808.69</v>
      </c>
      <c r="J323" s="1" t="s">
        <v>27</v>
      </c>
      <c r="K323" s="1">
        <v>0.22</v>
      </c>
      <c r="L323" s="1" t="s">
        <v>28</v>
      </c>
      <c r="M323" s="1" t="s">
        <v>19</v>
      </c>
      <c r="N323" s="1">
        <f>SUM(Table3[[#This Row],[Unit_Price]]-Table3[[#This Row],[Unit_Cost]])</f>
        <v>197.86</v>
      </c>
      <c r="O323" s="7"/>
      <c r="P323" s="7"/>
      <c r="Q323" s="7"/>
      <c r="S323"/>
    </row>
    <row r="324" spans="1:19" x14ac:dyDescent="0.3">
      <c r="A324" s="1">
        <v>1080</v>
      </c>
      <c r="B324" s="2">
        <v>45104</v>
      </c>
      <c r="C324" s="1" t="s">
        <v>32</v>
      </c>
      <c r="D324" s="1" t="s">
        <v>44</v>
      </c>
      <c r="E324" s="1">
        <v>5012.96</v>
      </c>
      <c r="F324" s="1">
        <v>35</v>
      </c>
      <c r="G324" s="1" t="s">
        <v>16</v>
      </c>
      <c r="H324" s="1">
        <v>900.97</v>
      </c>
      <c r="I324" s="1">
        <v>1321.18</v>
      </c>
      <c r="J324" s="1" t="s">
        <v>17</v>
      </c>
      <c r="K324" s="1">
        <v>0.1</v>
      </c>
      <c r="L324" s="1" t="s">
        <v>18</v>
      </c>
      <c r="M324" s="1" t="s">
        <v>19</v>
      </c>
      <c r="N324" s="1">
        <f>SUM(Table3[[#This Row],[Unit_Price]]-Table3[[#This Row],[Unit_Cost]])</f>
        <v>420.21000000000004</v>
      </c>
      <c r="O324" s="7"/>
      <c r="P324" s="7"/>
      <c r="Q324" s="7"/>
      <c r="S324"/>
    </row>
    <row r="325" spans="1:19" x14ac:dyDescent="0.3">
      <c r="A325" s="1">
        <v>1061</v>
      </c>
      <c r="B325" s="2">
        <v>45275</v>
      </c>
      <c r="C325" s="1" t="s">
        <v>33</v>
      </c>
      <c r="D325" s="1" t="s">
        <v>45</v>
      </c>
      <c r="E325" s="1">
        <v>3867.13</v>
      </c>
      <c r="F325" s="1">
        <v>32</v>
      </c>
      <c r="G325" s="1" t="s">
        <v>24</v>
      </c>
      <c r="H325" s="1">
        <v>2759.26</v>
      </c>
      <c r="I325" s="1">
        <v>3193.25</v>
      </c>
      <c r="J325" s="1" t="s">
        <v>27</v>
      </c>
      <c r="K325" s="1">
        <v>0.2</v>
      </c>
      <c r="L325" s="1" t="s">
        <v>25</v>
      </c>
      <c r="M325" s="1" t="s">
        <v>19</v>
      </c>
      <c r="N325" s="1">
        <f>SUM(Table3[[#This Row],[Unit_Price]]-Table3[[#This Row],[Unit_Cost]])</f>
        <v>433.98999999999978</v>
      </c>
      <c r="O325" s="7"/>
      <c r="P325" s="7"/>
      <c r="Q325" s="7"/>
      <c r="S325"/>
    </row>
    <row r="326" spans="1:19" x14ac:dyDescent="0.3">
      <c r="A326" s="1">
        <v>1041</v>
      </c>
      <c r="B326" s="2">
        <v>44934</v>
      </c>
      <c r="C326" s="1" t="s">
        <v>22</v>
      </c>
      <c r="D326" s="1" t="s">
        <v>46</v>
      </c>
      <c r="E326" s="1">
        <v>1714.05</v>
      </c>
      <c r="F326" s="1">
        <v>36</v>
      </c>
      <c r="G326" s="1" t="s">
        <v>24</v>
      </c>
      <c r="H326" s="1">
        <v>864.77</v>
      </c>
      <c r="I326" s="1">
        <v>1170.1599999999901</v>
      </c>
      <c r="J326" s="1" t="s">
        <v>17</v>
      </c>
      <c r="K326" s="1">
        <v>0.11</v>
      </c>
      <c r="L326" s="1" t="s">
        <v>18</v>
      </c>
      <c r="M326" s="1" t="s">
        <v>21</v>
      </c>
      <c r="N326" s="1">
        <f>SUM(Table3[[#This Row],[Unit_Price]]-Table3[[#This Row],[Unit_Cost]])</f>
        <v>305.3899999999901</v>
      </c>
      <c r="O326" s="7"/>
      <c r="P326" s="7"/>
      <c r="Q326" s="7"/>
      <c r="S326"/>
    </row>
    <row r="327" spans="1:19" x14ac:dyDescent="0.3">
      <c r="A327" s="1">
        <v>1100</v>
      </c>
      <c r="B327" s="2">
        <v>45247</v>
      </c>
      <c r="C327" s="1" t="s">
        <v>14</v>
      </c>
      <c r="D327" s="1" t="s">
        <v>47</v>
      </c>
      <c r="E327" s="1">
        <v>7883.44</v>
      </c>
      <c r="F327" s="1">
        <v>13</v>
      </c>
      <c r="G327" s="1" t="s">
        <v>24</v>
      </c>
      <c r="H327" s="1">
        <v>366.2</v>
      </c>
      <c r="I327" s="1">
        <v>732.69</v>
      </c>
      <c r="J327" s="1" t="s">
        <v>27</v>
      </c>
      <c r="K327" s="1">
        <v>0.04</v>
      </c>
      <c r="L327" s="1" t="s">
        <v>18</v>
      </c>
      <c r="M327" s="1" t="s">
        <v>21</v>
      </c>
      <c r="N327" s="1">
        <f>SUM(Table3[[#This Row],[Unit_Price]]-Table3[[#This Row],[Unit_Cost]])</f>
        <v>366.49000000000007</v>
      </c>
      <c r="O327" s="7"/>
      <c r="P327" s="7"/>
      <c r="Q327" s="7"/>
      <c r="S327"/>
    </row>
    <row r="328" spans="1:19" x14ac:dyDescent="0.3">
      <c r="A328" s="1">
        <v>1033</v>
      </c>
      <c r="B328" s="2">
        <v>45239</v>
      </c>
      <c r="C328" s="1" t="s">
        <v>22</v>
      </c>
      <c r="D328" s="1" t="s">
        <v>48</v>
      </c>
      <c r="E328" s="1">
        <v>7370.99</v>
      </c>
      <c r="F328" s="1">
        <v>6</v>
      </c>
      <c r="G328" s="1" t="s">
        <v>26</v>
      </c>
      <c r="H328" s="1">
        <v>1621.07</v>
      </c>
      <c r="I328" s="1">
        <v>1687.5</v>
      </c>
      <c r="J328" s="1" t="s">
        <v>17</v>
      </c>
      <c r="K328" s="1">
        <v>0.12</v>
      </c>
      <c r="L328" s="1" t="s">
        <v>28</v>
      </c>
      <c r="M328" s="1" t="s">
        <v>19</v>
      </c>
      <c r="N328" s="1">
        <f>SUM(Table3[[#This Row],[Unit_Price]]-Table3[[#This Row],[Unit_Cost]])</f>
        <v>66.430000000000064</v>
      </c>
      <c r="O328" s="7"/>
      <c r="P328" s="7"/>
      <c r="Q328" s="7"/>
      <c r="S328"/>
    </row>
    <row r="329" spans="1:19" x14ac:dyDescent="0.3">
      <c r="A329" s="1">
        <v>1068</v>
      </c>
      <c r="B329" s="2">
        <v>45173</v>
      </c>
      <c r="C329" s="1" t="s">
        <v>32</v>
      </c>
      <c r="D329" s="1" t="s">
        <v>49</v>
      </c>
      <c r="E329" s="1">
        <v>3905.11</v>
      </c>
      <c r="F329" s="1">
        <v>14</v>
      </c>
      <c r="G329" s="1" t="s">
        <v>24</v>
      </c>
      <c r="H329" s="1">
        <v>1140.58</v>
      </c>
      <c r="I329" s="1">
        <v>1438.76</v>
      </c>
      <c r="J329" s="1" t="s">
        <v>17</v>
      </c>
      <c r="K329" s="1">
        <v>0.03</v>
      </c>
      <c r="L329" s="1" t="s">
        <v>25</v>
      </c>
      <c r="M329" s="1" t="s">
        <v>19</v>
      </c>
      <c r="N329" s="1">
        <f>SUM(Table3[[#This Row],[Unit_Price]]-Table3[[#This Row],[Unit_Cost]])</f>
        <v>298.18000000000006</v>
      </c>
      <c r="O329" s="7"/>
      <c r="P329" s="7"/>
      <c r="Q329" s="7"/>
      <c r="S329"/>
    </row>
    <row r="330" spans="1:19" x14ac:dyDescent="0.3">
      <c r="A330" s="1">
        <v>1033</v>
      </c>
      <c r="B330" s="2">
        <v>45249</v>
      </c>
      <c r="C330" s="1" t="s">
        <v>22</v>
      </c>
      <c r="D330" s="1" t="s">
        <v>50</v>
      </c>
      <c r="E330" s="1">
        <v>349.41</v>
      </c>
      <c r="F330" s="1">
        <v>37</v>
      </c>
      <c r="G330" s="1" t="s">
        <v>31</v>
      </c>
      <c r="H330" s="1">
        <v>2600.7600000000002</v>
      </c>
      <c r="I330" s="1">
        <v>2937.57</v>
      </c>
      <c r="J330" s="1" t="s">
        <v>27</v>
      </c>
      <c r="K330" s="1">
        <v>0.17</v>
      </c>
      <c r="L330" s="1" t="s">
        <v>28</v>
      </c>
      <c r="M330" s="1" t="s">
        <v>21</v>
      </c>
      <c r="N330" s="1">
        <f>SUM(Table3[[#This Row],[Unit_Price]]-Table3[[#This Row],[Unit_Cost]])</f>
        <v>336.80999999999995</v>
      </c>
      <c r="O330" s="7"/>
      <c r="P330" s="7"/>
      <c r="Q330" s="7"/>
      <c r="S330"/>
    </row>
    <row r="331" spans="1:19" x14ac:dyDescent="0.3">
      <c r="A331" s="1">
        <v>1014</v>
      </c>
      <c r="B331" s="2">
        <v>45181</v>
      </c>
      <c r="C331" s="1" t="s">
        <v>29</v>
      </c>
      <c r="D331" s="1" t="s">
        <v>44</v>
      </c>
      <c r="E331" s="1">
        <v>8406.07</v>
      </c>
      <c r="F331" s="1">
        <v>48</v>
      </c>
      <c r="G331" s="1" t="s">
        <v>16</v>
      </c>
      <c r="H331" s="1">
        <v>556.72</v>
      </c>
      <c r="I331" s="1">
        <v>665.07</v>
      </c>
      <c r="J331" s="1" t="s">
        <v>17</v>
      </c>
      <c r="K331" s="1">
        <v>0.01</v>
      </c>
      <c r="L331" s="1" t="s">
        <v>25</v>
      </c>
      <c r="M331" s="1" t="s">
        <v>21</v>
      </c>
      <c r="N331" s="1">
        <f>SUM(Table3[[#This Row],[Unit_Price]]-Table3[[#This Row],[Unit_Cost]])</f>
        <v>108.35000000000002</v>
      </c>
      <c r="O331" s="7"/>
      <c r="P331" s="7"/>
      <c r="Q331" s="7"/>
      <c r="S331"/>
    </row>
    <row r="332" spans="1:19" x14ac:dyDescent="0.3">
      <c r="A332" s="1">
        <v>1021</v>
      </c>
      <c r="B332" s="2">
        <v>45254</v>
      </c>
      <c r="C332" s="1" t="s">
        <v>32</v>
      </c>
      <c r="D332" s="1" t="s">
        <v>45</v>
      </c>
      <c r="E332" s="1">
        <v>213.04</v>
      </c>
      <c r="F332" s="1">
        <v>15</v>
      </c>
      <c r="G332" s="1" t="s">
        <v>24</v>
      </c>
      <c r="H332" s="1">
        <v>3771.27</v>
      </c>
      <c r="I332" s="1">
        <v>4212.55</v>
      </c>
      <c r="J332" s="1" t="s">
        <v>17</v>
      </c>
      <c r="K332" s="1">
        <v>0.16</v>
      </c>
      <c r="L332" s="1" t="s">
        <v>28</v>
      </c>
      <c r="M332" s="1" t="s">
        <v>21</v>
      </c>
      <c r="N332" s="1">
        <f>SUM(Table3[[#This Row],[Unit_Price]]-Table3[[#This Row],[Unit_Cost]])</f>
        <v>441.2800000000002</v>
      </c>
      <c r="O332" s="7"/>
      <c r="P332" s="7"/>
      <c r="Q332" s="7"/>
      <c r="S332"/>
    </row>
    <row r="333" spans="1:19" x14ac:dyDescent="0.3">
      <c r="A333" s="1">
        <v>1048</v>
      </c>
      <c r="B333" s="2">
        <v>44980</v>
      </c>
      <c r="C333" s="1" t="s">
        <v>14</v>
      </c>
      <c r="D333" s="1" t="s">
        <v>46</v>
      </c>
      <c r="E333" s="1">
        <v>7066.63</v>
      </c>
      <c r="F333" s="1">
        <v>47</v>
      </c>
      <c r="G333" s="1" t="s">
        <v>24</v>
      </c>
      <c r="H333" s="1">
        <v>4535.8599999999997</v>
      </c>
      <c r="I333" s="1">
        <v>4641.41</v>
      </c>
      <c r="J333" s="1" t="s">
        <v>27</v>
      </c>
      <c r="K333" s="1">
        <v>0.27</v>
      </c>
      <c r="L333" s="1" t="s">
        <v>28</v>
      </c>
      <c r="M333" s="1" t="s">
        <v>21</v>
      </c>
      <c r="N333" s="1">
        <f>SUM(Table3[[#This Row],[Unit_Price]]-Table3[[#This Row],[Unit_Cost]])</f>
        <v>105.55000000000018</v>
      </c>
      <c r="O333" s="7"/>
      <c r="P333" s="7"/>
      <c r="Q333" s="7"/>
      <c r="S333"/>
    </row>
    <row r="334" spans="1:19" x14ac:dyDescent="0.3">
      <c r="A334" s="1">
        <v>1020</v>
      </c>
      <c r="B334" s="2">
        <v>45175</v>
      </c>
      <c r="C334" s="1" t="s">
        <v>29</v>
      </c>
      <c r="D334" s="1" t="s">
        <v>47</v>
      </c>
      <c r="E334" s="1">
        <v>9705.5499999999993</v>
      </c>
      <c r="F334" s="1">
        <v>4</v>
      </c>
      <c r="G334" s="1" t="s">
        <v>26</v>
      </c>
      <c r="H334" s="1">
        <v>3730</v>
      </c>
      <c r="I334" s="1">
        <v>3893.6</v>
      </c>
      <c r="J334" s="1" t="s">
        <v>27</v>
      </c>
      <c r="K334" s="1">
        <v>0.25</v>
      </c>
      <c r="L334" s="1" t="s">
        <v>25</v>
      </c>
      <c r="M334" s="1" t="s">
        <v>21</v>
      </c>
      <c r="N334" s="1">
        <f>SUM(Table3[[#This Row],[Unit_Price]]-Table3[[#This Row],[Unit_Cost]])</f>
        <v>163.59999999999991</v>
      </c>
      <c r="O334" s="7"/>
      <c r="P334" s="7"/>
      <c r="Q334" s="7"/>
      <c r="S334"/>
    </row>
    <row r="335" spans="1:19" x14ac:dyDescent="0.3">
      <c r="A335" s="1">
        <v>1008</v>
      </c>
      <c r="B335" s="2">
        <v>45165</v>
      </c>
      <c r="C335" s="1" t="s">
        <v>22</v>
      </c>
      <c r="D335" s="1" t="s">
        <v>48</v>
      </c>
      <c r="E335" s="1">
        <v>4432.8500000000004</v>
      </c>
      <c r="F335" s="1">
        <v>40</v>
      </c>
      <c r="G335" s="1" t="s">
        <v>26</v>
      </c>
      <c r="H335" s="1">
        <v>2687.49</v>
      </c>
      <c r="I335" s="1">
        <v>3001.56</v>
      </c>
      <c r="J335" s="1" t="s">
        <v>17</v>
      </c>
      <c r="K335" s="1">
        <v>0.26</v>
      </c>
      <c r="L335" s="1" t="s">
        <v>25</v>
      </c>
      <c r="M335" s="1" t="s">
        <v>19</v>
      </c>
      <c r="N335" s="1">
        <f>SUM(Table3[[#This Row],[Unit_Price]]-Table3[[#This Row],[Unit_Cost]])</f>
        <v>314.07000000000016</v>
      </c>
      <c r="O335" s="7"/>
      <c r="P335" s="7"/>
      <c r="Q335" s="7"/>
      <c r="S335"/>
    </row>
    <row r="336" spans="1:19" x14ac:dyDescent="0.3">
      <c r="A336" s="1">
        <v>1007</v>
      </c>
      <c r="B336" s="2">
        <v>45155</v>
      </c>
      <c r="C336" s="1" t="s">
        <v>32</v>
      </c>
      <c r="D336" s="1" t="s">
        <v>49</v>
      </c>
      <c r="E336" s="1">
        <v>2426.2399999999998</v>
      </c>
      <c r="F336" s="1">
        <v>16</v>
      </c>
      <c r="G336" s="1" t="s">
        <v>16</v>
      </c>
      <c r="H336" s="1">
        <v>4310.3100000000004</v>
      </c>
      <c r="I336" s="1">
        <v>4633.1000000000004</v>
      </c>
      <c r="J336" s="1" t="s">
        <v>27</v>
      </c>
      <c r="K336" s="1">
        <v>0.28000000000000003</v>
      </c>
      <c r="L336" s="1" t="s">
        <v>28</v>
      </c>
      <c r="M336" s="1" t="s">
        <v>21</v>
      </c>
      <c r="N336" s="1">
        <f>SUM(Table3[[#This Row],[Unit_Price]]-Table3[[#This Row],[Unit_Cost]])</f>
        <v>322.78999999999996</v>
      </c>
      <c r="O336" s="7"/>
      <c r="P336" s="7"/>
      <c r="Q336" s="7"/>
      <c r="S336"/>
    </row>
    <row r="337" spans="1:19" x14ac:dyDescent="0.3">
      <c r="A337" s="1">
        <v>1067</v>
      </c>
      <c r="B337" s="2">
        <v>44993</v>
      </c>
      <c r="C337" s="1" t="s">
        <v>14</v>
      </c>
      <c r="D337" s="1" t="s">
        <v>50</v>
      </c>
      <c r="E337" s="1">
        <v>7078.22</v>
      </c>
      <c r="F337" s="1">
        <v>28</v>
      </c>
      <c r="G337" s="1" t="s">
        <v>31</v>
      </c>
      <c r="H337" s="1">
        <v>3489.85</v>
      </c>
      <c r="I337" s="1">
        <v>3842.5499999999902</v>
      </c>
      <c r="J337" s="1" t="s">
        <v>27</v>
      </c>
      <c r="K337" s="1">
        <v>0.03</v>
      </c>
      <c r="L337" s="1" t="s">
        <v>25</v>
      </c>
      <c r="M337" s="1" t="s">
        <v>19</v>
      </c>
      <c r="N337" s="1">
        <f>SUM(Table3[[#This Row],[Unit_Price]]-Table3[[#This Row],[Unit_Cost]])</f>
        <v>352.69999999999027</v>
      </c>
      <c r="O337" s="7"/>
      <c r="P337" s="7"/>
      <c r="Q337" s="7"/>
      <c r="S337"/>
    </row>
    <row r="338" spans="1:19" x14ac:dyDescent="0.3">
      <c r="A338" s="1">
        <v>1017</v>
      </c>
      <c r="B338" s="2">
        <v>44977</v>
      </c>
      <c r="C338" s="1" t="s">
        <v>29</v>
      </c>
      <c r="D338" s="1" t="s">
        <v>44</v>
      </c>
      <c r="E338" s="1">
        <v>8189.57</v>
      </c>
      <c r="F338" s="1">
        <v>16</v>
      </c>
      <c r="G338" s="1" t="s">
        <v>16</v>
      </c>
      <c r="H338" s="1">
        <v>102.23</v>
      </c>
      <c r="I338" s="1">
        <v>167.12</v>
      </c>
      <c r="J338" s="1" t="s">
        <v>27</v>
      </c>
      <c r="K338" s="1">
        <v>0.04</v>
      </c>
      <c r="L338" s="1" t="s">
        <v>28</v>
      </c>
      <c r="M338" s="1" t="s">
        <v>21</v>
      </c>
      <c r="N338" s="1">
        <f>SUM(Table3[[#This Row],[Unit_Price]]-Table3[[#This Row],[Unit_Cost]])</f>
        <v>64.89</v>
      </c>
      <c r="O338" s="7"/>
      <c r="P338" s="7"/>
      <c r="Q338" s="7"/>
      <c r="S338"/>
    </row>
    <row r="339" spans="1:19" x14ac:dyDescent="0.3">
      <c r="A339" s="1">
        <v>1033</v>
      </c>
      <c r="B339" s="2">
        <v>45023</v>
      </c>
      <c r="C339" s="1" t="s">
        <v>14</v>
      </c>
      <c r="D339" s="1" t="s">
        <v>45</v>
      </c>
      <c r="E339" s="1">
        <v>5509.66</v>
      </c>
      <c r="F339" s="1">
        <v>4</v>
      </c>
      <c r="G339" s="1" t="s">
        <v>24</v>
      </c>
      <c r="H339" s="1">
        <v>2000.75</v>
      </c>
      <c r="I339" s="1">
        <v>2426.9899999999998</v>
      </c>
      <c r="J339" s="1" t="s">
        <v>17</v>
      </c>
      <c r="K339" s="1">
        <v>0.17</v>
      </c>
      <c r="L339" s="1" t="s">
        <v>25</v>
      </c>
      <c r="M339" s="1" t="s">
        <v>19</v>
      </c>
      <c r="N339" s="1">
        <f>SUM(Table3[[#This Row],[Unit_Price]]-Table3[[#This Row],[Unit_Cost]])</f>
        <v>426.23999999999978</v>
      </c>
      <c r="O339" s="7"/>
      <c r="P339" s="7"/>
      <c r="Q339" s="7"/>
      <c r="S339"/>
    </row>
    <row r="340" spans="1:19" x14ac:dyDescent="0.3">
      <c r="A340" s="1">
        <v>1048</v>
      </c>
      <c r="B340" s="2">
        <v>45018</v>
      </c>
      <c r="C340" s="1" t="s">
        <v>22</v>
      </c>
      <c r="D340" s="1" t="s">
        <v>46</v>
      </c>
      <c r="E340" s="1">
        <v>9673.65</v>
      </c>
      <c r="F340" s="1">
        <v>45</v>
      </c>
      <c r="G340" s="1" t="s">
        <v>31</v>
      </c>
      <c r="H340" s="1">
        <v>4262.21</v>
      </c>
      <c r="I340" s="1">
        <v>4533.3100000000004</v>
      </c>
      <c r="J340" s="1" t="s">
        <v>17</v>
      </c>
      <c r="K340" s="1">
        <v>0.27</v>
      </c>
      <c r="L340" s="1" t="s">
        <v>28</v>
      </c>
      <c r="M340" s="1" t="s">
        <v>19</v>
      </c>
      <c r="N340" s="1">
        <f>SUM(Table3[[#This Row],[Unit_Price]]-Table3[[#This Row],[Unit_Cost]])</f>
        <v>271.10000000000036</v>
      </c>
      <c r="O340" s="7"/>
      <c r="P340" s="7"/>
      <c r="Q340" s="7"/>
      <c r="S340"/>
    </row>
    <row r="341" spans="1:19" x14ac:dyDescent="0.3">
      <c r="A341" s="1">
        <v>1076</v>
      </c>
      <c r="B341" s="2">
        <v>45190</v>
      </c>
      <c r="C341" s="1" t="s">
        <v>14</v>
      </c>
      <c r="D341" s="1" t="s">
        <v>47</v>
      </c>
      <c r="E341" s="1">
        <v>611.52</v>
      </c>
      <c r="F341" s="1">
        <v>26</v>
      </c>
      <c r="G341" s="1" t="s">
        <v>31</v>
      </c>
      <c r="H341" s="1">
        <v>1762</v>
      </c>
      <c r="I341" s="1">
        <v>2002.95</v>
      </c>
      <c r="J341" s="1" t="s">
        <v>17</v>
      </c>
      <c r="K341" s="1">
        <v>0.28999999999999998</v>
      </c>
      <c r="L341" s="1" t="s">
        <v>28</v>
      </c>
      <c r="M341" s="1" t="s">
        <v>21</v>
      </c>
      <c r="N341" s="1">
        <f>SUM(Table3[[#This Row],[Unit_Price]]-Table3[[#This Row],[Unit_Cost]])</f>
        <v>240.95000000000005</v>
      </c>
      <c r="O341" s="7"/>
      <c r="P341" s="7"/>
      <c r="Q341" s="7"/>
      <c r="S341"/>
    </row>
    <row r="342" spans="1:19" x14ac:dyDescent="0.3">
      <c r="A342" s="1">
        <v>1059</v>
      </c>
      <c r="B342" s="2">
        <v>45217</v>
      </c>
      <c r="C342" s="1" t="s">
        <v>33</v>
      </c>
      <c r="D342" s="1" t="s">
        <v>48</v>
      </c>
      <c r="E342" s="1">
        <v>5097.4799999999996</v>
      </c>
      <c r="F342" s="1">
        <v>28</v>
      </c>
      <c r="G342" s="1" t="s">
        <v>31</v>
      </c>
      <c r="H342" s="1">
        <v>224.32</v>
      </c>
      <c r="I342" s="1">
        <v>715.06</v>
      </c>
      <c r="J342" s="1" t="s">
        <v>17</v>
      </c>
      <c r="K342" s="1">
        <v>0.01</v>
      </c>
      <c r="L342" s="1" t="s">
        <v>28</v>
      </c>
      <c r="M342" s="1" t="s">
        <v>19</v>
      </c>
      <c r="N342" s="1">
        <f>SUM(Table3[[#This Row],[Unit_Price]]-Table3[[#This Row],[Unit_Cost]])</f>
        <v>490.73999999999995</v>
      </c>
      <c r="O342" s="7"/>
      <c r="P342" s="7"/>
      <c r="Q342" s="7"/>
      <c r="S342"/>
    </row>
    <row r="343" spans="1:19" x14ac:dyDescent="0.3">
      <c r="A343" s="1">
        <v>1086</v>
      </c>
      <c r="B343" s="2">
        <v>45022</v>
      </c>
      <c r="C343" s="1" t="s">
        <v>29</v>
      </c>
      <c r="D343" s="1" t="s">
        <v>49</v>
      </c>
      <c r="E343" s="1">
        <v>7212.69</v>
      </c>
      <c r="F343" s="1">
        <v>32</v>
      </c>
      <c r="G343" s="1" t="s">
        <v>31</v>
      </c>
      <c r="H343" s="1">
        <v>3743.59</v>
      </c>
      <c r="I343" s="1">
        <v>4116.38</v>
      </c>
      <c r="J343" s="1" t="s">
        <v>17</v>
      </c>
      <c r="K343" s="1">
        <v>0.11</v>
      </c>
      <c r="L343" s="1" t="s">
        <v>18</v>
      </c>
      <c r="M343" s="1" t="s">
        <v>19</v>
      </c>
      <c r="N343" s="1">
        <f>SUM(Table3[[#This Row],[Unit_Price]]-Table3[[#This Row],[Unit_Cost]])</f>
        <v>372.78999999999996</v>
      </c>
      <c r="O343" s="7"/>
      <c r="P343" s="7"/>
      <c r="Q343" s="7"/>
      <c r="S343"/>
    </row>
    <row r="344" spans="1:19" x14ac:dyDescent="0.3">
      <c r="A344" s="1">
        <v>1022</v>
      </c>
      <c r="B344" s="2">
        <v>45014</v>
      </c>
      <c r="C344" s="1" t="s">
        <v>14</v>
      </c>
      <c r="D344" s="1" t="s">
        <v>50</v>
      </c>
      <c r="E344" s="1">
        <v>8640.14</v>
      </c>
      <c r="F344" s="1">
        <v>45</v>
      </c>
      <c r="G344" s="1" t="s">
        <v>16</v>
      </c>
      <c r="H344" s="1">
        <v>4020.09</v>
      </c>
      <c r="I344" s="1">
        <v>4087.91</v>
      </c>
      <c r="J344" s="1" t="s">
        <v>17</v>
      </c>
      <c r="K344" s="1">
        <v>0.06</v>
      </c>
      <c r="L344" s="1" t="s">
        <v>25</v>
      </c>
      <c r="M344" s="1" t="s">
        <v>19</v>
      </c>
      <c r="N344" s="1">
        <f>SUM(Table3[[#This Row],[Unit_Price]]-Table3[[#This Row],[Unit_Cost]])</f>
        <v>67.819999999999709</v>
      </c>
      <c r="O344" s="7"/>
      <c r="P344" s="7"/>
      <c r="Q344" s="7"/>
      <c r="S344"/>
    </row>
    <row r="345" spans="1:19" x14ac:dyDescent="0.3">
      <c r="A345" s="1">
        <v>1030</v>
      </c>
      <c r="B345" s="2">
        <v>45004</v>
      </c>
      <c r="C345" s="1" t="s">
        <v>22</v>
      </c>
      <c r="D345" s="1" t="s">
        <v>44</v>
      </c>
      <c r="E345" s="1">
        <v>1874.63</v>
      </c>
      <c r="F345" s="1">
        <v>2</v>
      </c>
      <c r="G345" s="1" t="s">
        <v>26</v>
      </c>
      <c r="H345" s="1">
        <v>844.94</v>
      </c>
      <c r="I345" s="1">
        <v>1225.6400000000001</v>
      </c>
      <c r="J345" s="1" t="s">
        <v>17</v>
      </c>
      <c r="K345" s="1">
        <v>0.23</v>
      </c>
      <c r="L345" s="1" t="s">
        <v>28</v>
      </c>
      <c r="M345" s="1" t="s">
        <v>19</v>
      </c>
      <c r="N345" s="1">
        <f>SUM(Table3[[#This Row],[Unit_Price]]-Table3[[#This Row],[Unit_Cost]])</f>
        <v>380.70000000000005</v>
      </c>
      <c r="O345" s="7"/>
      <c r="P345" s="7"/>
      <c r="Q345" s="7"/>
      <c r="S345"/>
    </row>
    <row r="346" spans="1:19" x14ac:dyDescent="0.3">
      <c r="A346" s="1">
        <v>1038</v>
      </c>
      <c r="B346" s="2">
        <v>45214</v>
      </c>
      <c r="C346" s="1" t="s">
        <v>22</v>
      </c>
      <c r="D346" s="1" t="s">
        <v>45</v>
      </c>
      <c r="E346" s="1">
        <v>8020.03</v>
      </c>
      <c r="F346" s="1">
        <v>31</v>
      </c>
      <c r="G346" s="1" t="s">
        <v>26</v>
      </c>
      <c r="H346" s="1">
        <v>2709.84</v>
      </c>
      <c r="I346" s="1">
        <v>2766.51</v>
      </c>
      <c r="J346" s="1" t="s">
        <v>27</v>
      </c>
      <c r="K346" s="1">
        <v>0.19</v>
      </c>
      <c r="L346" s="1" t="s">
        <v>18</v>
      </c>
      <c r="M346" s="1" t="s">
        <v>21</v>
      </c>
      <c r="N346" s="1">
        <f>SUM(Table3[[#This Row],[Unit_Price]]-Table3[[#This Row],[Unit_Cost]])</f>
        <v>56.670000000000073</v>
      </c>
      <c r="O346" s="7"/>
      <c r="P346" s="7"/>
      <c r="Q346" s="7"/>
      <c r="S346"/>
    </row>
    <row r="347" spans="1:19" x14ac:dyDescent="0.3">
      <c r="A347" s="1">
        <v>1051</v>
      </c>
      <c r="B347" s="2">
        <v>45046</v>
      </c>
      <c r="C347" s="1" t="s">
        <v>14</v>
      </c>
      <c r="D347" s="1" t="s">
        <v>46</v>
      </c>
      <c r="E347" s="1">
        <v>5571.8</v>
      </c>
      <c r="F347" s="1">
        <v>3</v>
      </c>
      <c r="G347" s="1" t="s">
        <v>24</v>
      </c>
      <c r="H347" s="1">
        <v>1000.18</v>
      </c>
      <c r="I347" s="1">
        <v>1023.64</v>
      </c>
      <c r="J347" s="1" t="s">
        <v>17</v>
      </c>
      <c r="K347" s="1">
        <v>0.04</v>
      </c>
      <c r="L347" s="1" t="s">
        <v>28</v>
      </c>
      <c r="M347" s="1" t="s">
        <v>19</v>
      </c>
      <c r="N347" s="1">
        <f>SUM(Table3[[#This Row],[Unit_Price]]-Table3[[#This Row],[Unit_Cost]])</f>
        <v>23.460000000000036</v>
      </c>
      <c r="O347" s="7"/>
      <c r="P347" s="7"/>
      <c r="Q347" s="7"/>
      <c r="S347"/>
    </row>
    <row r="348" spans="1:19" x14ac:dyDescent="0.3">
      <c r="A348" s="1">
        <v>1054</v>
      </c>
      <c r="B348" s="2">
        <v>45228</v>
      </c>
      <c r="C348" s="1" t="s">
        <v>22</v>
      </c>
      <c r="D348" s="1" t="s">
        <v>47</v>
      </c>
      <c r="E348" s="1">
        <v>4025.88</v>
      </c>
      <c r="F348" s="1">
        <v>8</v>
      </c>
      <c r="G348" s="1" t="s">
        <v>26</v>
      </c>
      <c r="H348" s="1">
        <v>3610.21</v>
      </c>
      <c r="I348" s="1">
        <v>3817.99</v>
      </c>
      <c r="J348" s="1" t="s">
        <v>17</v>
      </c>
      <c r="K348" s="1">
        <v>0.15</v>
      </c>
      <c r="L348" s="1" t="s">
        <v>18</v>
      </c>
      <c r="M348" s="1" t="s">
        <v>21</v>
      </c>
      <c r="N348" s="1">
        <f>SUM(Table3[[#This Row],[Unit_Price]]-Table3[[#This Row],[Unit_Cost]])</f>
        <v>207.77999999999975</v>
      </c>
      <c r="O348" s="7"/>
      <c r="P348" s="7"/>
      <c r="Q348" s="7"/>
      <c r="S348"/>
    </row>
    <row r="349" spans="1:19" x14ac:dyDescent="0.3">
      <c r="A349" s="1">
        <v>1008</v>
      </c>
      <c r="B349" s="2">
        <v>45091</v>
      </c>
      <c r="C349" s="1" t="s">
        <v>32</v>
      </c>
      <c r="D349" s="1" t="s">
        <v>48</v>
      </c>
      <c r="E349" s="1">
        <v>1403.98</v>
      </c>
      <c r="F349" s="1">
        <v>24</v>
      </c>
      <c r="G349" s="1" t="s">
        <v>26</v>
      </c>
      <c r="H349" s="1">
        <v>1394.17</v>
      </c>
      <c r="I349" s="1">
        <v>1891.02</v>
      </c>
      <c r="J349" s="1" t="s">
        <v>27</v>
      </c>
      <c r="K349" s="1">
        <v>0.21</v>
      </c>
      <c r="L349" s="1" t="s">
        <v>28</v>
      </c>
      <c r="M349" s="1" t="s">
        <v>19</v>
      </c>
      <c r="N349" s="1">
        <f>SUM(Table3[[#This Row],[Unit_Price]]-Table3[[#This Row],[Unit_Cost]])</f>
        <v>496.84999999999991</v>
      </c>
      <c r="O349" s="7"/>
      <c r="P349" s="7"/>
      <c r="Q349" s="7"/>
      <c r="S349"/>
    </row>
    <row r="350" spans="1:19" x14ac:dyDescent="0.3">
      <c r="A350" s="1">
        <v>1027</v>
      </c>
      <c r="B350" s="2">
        <v>45108</v>
      </c>
      <c r="C350" s="1" t="s">
        <v>32</v>
      </c>
      <c r="D350" s="1" t="s">
        <v>49</v>
      </c>
      <c r="E350" s="1">
        <v>8666.43</v>
      </c>
      <c r="F350" s="1">
        <v>15</v>
      </c>
      <c r="G350" s="1" t="s">
        <v>26</v>
      </c>
      <c r="H350" s="1">
        <v>1615.26</v>
      </c>
      <c r="I350" s="1">
        <v>1710.95</v>
      </c>
      <c r="J350" s="1" t="s">
        <v>27</v>
      </c>
      <c r="K350" s="1">
        <v>0.23</v>
      </c>
      <c r="L350" s="1" t="s">
        <v>28</v>
      </c>
      <c r="M350" s="1" t="s">
        <v>21</v>
      </c>
      <c r="N350" s="1">
        <f>SUM(Table3[[#This Row],[Unit_Price]]-Table3[[#This Row],[Unit_Cost]])</f>
        <v>95.690000000000055</v>
      </c>
      <c r="O350" s="7"/>
      <c r="P350" s="7"/>
      <c r="Q350" s="7"/>
      <c r="S350"/>
    </row>
    <row r="351" spans="1:19" x14ac:dyDescent="0.3">
      <c r="A351" s="1">
        <v>1027</v>
      </c>
      <c r="B351" s="2">
        <v>45149</v>
      </c>
      <c r="C351" s="1" t="s">
        <v>32</v>
      </c>
      <c r="D351" s="1" t="s">
        <v>50</v>
      </c>
      <c r="E351" s="1">
        <v>1657</v>
      </c>
      <c r="F351" s="1">
        <v>43</v>
      </c>
      <c r="G351" s="1" t="s">
        <v>26</v>
      </c>
      <c r="H351" s="1">
        <v>4232.6099999999997</v>
      </c>
      <c r="I351" s="1">
        <v>4572.21</v>
      </c>
      <c r="J351" s="1" t="s">
        <v>27</v>
      </c>
      <c r="K351" s="1">
        <v>0.01</v>
      </c>
      <c r="L351" s="1" t="s">
        <v>18</v>
      </c>
      <c r="M351" s="1" t="s">
        <v>21</v>
      </c>
      <c r="N351" s="1">
        <f>SUM(Table3[[#This Row],[Unit_Price]]-Table3[[#This Row],[Unit_Cost]])</f>
        <v>339.60000000000036</v>
      </c>
      <c r="O351" s="7"/>
      <c r="P351" s="7"/>
      <c r="Q351" s="7"/>
      <c r="S351"/>
    </row>
    <row r="352" spans="1:19" x14ac:dyDescent="0.3">
      <c r="A352" s="1">
        <v>1098</v>
      </c>
      <c r="B352" s="2">
        <v>45237</v>
      </c>
      <c r="C352" s="1" t="s">
        <v>33</v>
      </c>
      <c r="D352" s="1" t="s">
        <v>44</v>
      </c>
      <c r="E352" s="1">
        <v>3166.9</v>
      </c>
      <c r="F352" s="1">
        <v>31</v>
      </c>
      <c r="G352" s="1" t="s">
        <v>24</v>
      </c>
      <c r="H352" s="1">
        <v>2407.8000000000002</v>
      </c>
      <c r="I352" s="1">
        <v>2502.7600000000002</v>
      </c>
      <c r="J352" s="1" t="s">
        <v>17</v>
      </c>
      <c r="K352" s="1">
        <v>0.27</v>
      </c>
      <c r="L352" s="1" t="s">
        <v>18</v>
      </c>
      <c r="M352" s="1" t="s">
        <v>21</v>
      </c>
      <c r="N352" s="1">
        <f>SUM(Table3[[#This Row],[Unit_Price]]-Table3[[#This Row],[Unit_Cost]])</f>
        <v>94.960000000000036</v>
      </c>
      <c r="O352" s="7"/>
      <c r="P352" s="7"/>
      <c r="Q352" s="7"/>
      <c r="S352"/>
    </row>
    <row r="353" spans="1:19" x14ac:dyDescent="0.3">
      <c r="A353" s="1">
        <v>1021</v>
      </c>
      <c r="B353" s="2">
        <v>44933</v>
      </c>
      <c r="C353" s="1" t="s">
        <v>14</v>
      </c>
      <c r="D353" s="1" t="s">
        <v>45</v>
      </c>
      <c r="E353" s="1">
        <v>2971.45</v>
      </c>
      <c r="F353" s="1">
        <v>9</v>
      </c>
      <c r="G353" s="1" t="s">
        <v>16</v>
      </c>
      <c r="H353" s="1">
        <v>3365.28</v>
      </c>
      <c r="I353" s="1">
        <v>3730.43</v>
      </c>
      <c r="J353" s="1" t="s">
        <v>27</v>
      </c>
      <c r="K353" s="1">
        <v>0.17</v>
      </c>
      <c r="L353" s="1" t="s">
        <v>25</v>
      </c>
      <c r="M353" s="1" t="s">
        <v>19</v>
      </c>
      <c r="N353" s="1">
        <f>SUM(Table3[[#This Row],[Unit_Price]]-Table3[[#This Row],[Unit_Cost]])</f>
        <v>365.14999999999964</v>
      </c>
      <c r="O353" s="7"/>
      <c r="P353" s="7"/>
      <c r="Q353" s="7"/>
      <c r="S353"/>
    </row>
    <row r="354" spans="1:19" x14ac:dyDescent="0.3">
      <c r="A354" s="1">
        <v>1030</v>
      </c>
      <c r="B354" s="2">
        <v>45256</v>
      </c>
      <c r="C354" s="1" t="s">
        <v>33</v>
      </c>
      <c r="D354" s="1" t="s">
        <v>46</v>
      </c>
      <c r="E354" s="1">
        <v>8727</v>
      </c>
      <c r="F354" s="1">
        <v>39</v>
      </c>
      <c r="G354" s="1" t="s">
        <v>31</v>
      </c>
      <c r="H354" s="1">
        <v>2041.75</v>
      </c>
      <c r="I354" s="1">
        <v>2299.37</v>
      </c>
      <c r="J354" s="1" t="s">
        <v>17</v>
      </c>
      <c r="K354" s="1">
        <v>0.24</v>
      </c>
      <c r="L354" s="1" t="s">
        <v>25</v>
      </c>
      <c r="M354" s="1" t="s">
        <v>21</v>
      </c>
      <c r="N354" s="1">
        <f>SUM(Table3[[#This Row],[Unit_Price]]-Table3[[#This Row],[Unit_Cost]])</f>
        <v>257.61999999999989</v>
      </c>
      <c r="O354" s="7"/>
      <c r="P354" s="7"/>
      <c r="Q354" s="7"/>
      <c r="S354"/>
    </row>
    <row r="355" spans="1:19" x14ac:dyDescent="0.3">
      <c r="A355" s="1">
        <v>1097</v>
      </c>
      <c r="B355" s="2">
        <v>45189</v>
      </c>
      <c r="C355" s="1" t="s">
        <v>22</v>
      </c>
      <c r="D355" s="1" t="s">
        <v>47</v>
      </c>
      <c r="E355" s="1">
        <v>6759.76</v>
      </c>
      <c r="F355" s="1">
        <v>45</v>
      </c>
      <c r="G355" s="1" t="s">
        <v>26</v>
      </c>
      <c r="H355" s="1">
        <v>1525.13</v>
      </c>
      <c r="I355" s="1">
        <v>1868.32</v>
      </c>
      <c r="J355" s="1" t="s">
        <v>17</v>
      </c>
      <c r="K355" s="1">
        <v>0.24</v>
      </c>
      <c r="L355" s="1" t="s">
        <v>18</v>
      </c>
      <c r="M355" s="1" t="s">
        <v>21</v>
      </c>
      <c r="N355" s="1">
        <f>SUM(Table3[[#This Row],[Unit_Price]]-Table3[[#This Row],[Unit_Cost]])</f>
        <v>343.18999999999983</v>
      </c>
      <c r="O355" s="7"/>
      <c r="P355" s="7"/>
      <c r="Q355" s="7"/>
      <c r="S355"/>
    </row>
    <row r="356" spans="1:19" x14ac:dyDescent="0.3">
      <c r="A356" s="1">
        <v>1028</v>
      </c>
      <c r="B356" s="2">
        <v>45087</v>
      </c>
      <c r="C356" s="1" t="s">
        <v>33</v>
      </c>
      <c r="D356" s="1" t="s">
        <v>48</v>
      </c>
      <c r="E356" s="1">
        <v>7987.15</v>
      </c>
      <c r="F356" s="1">
        <v>2</v>
      </c>
      <c r="G356" s="1" t="s">
        <v>16</v>
      </c>
      <c r="H356" s="1">
        <v>3146.12</v>
      </c>
      <c r="I356" s="1">
        <v>3255.5299999999902</v>
      </c>
      <c r="J356" s="1" t="s">
        <v>17</v>
      </c>
      <c r="K356" s="1">
        <v>0.06</v>
      </c>
      <c r="L356" s="1" t="s">
        <v>25</v>
      </c>
      <c r="M356" s="1" t="s">
        <v>19</v>
      </c>
      <c r="N356" s="1">
        <f>SUM(Table3[[#This Row],[Unit_Price]]-Table3[[#This Row],[Unit_Cost]])</f>
        <v>109.4099999999903</v>
      </c>
      <c r="O356" s="7"/>
      <c r="P356" s="7"/>
      <c r="Q356" s="7"/>
      <c r="S356"/>
    </row>
    <row r="357" spans="1:19" x14ac:dyDescent="0.3">
      <c r="A357" s="1">
        <v>1064</v>
      </c>
      <c r="B357" s="2">
        <v>45077</v>
      </c>
      <c r="C357" s="1" t="s">
        <v>22</v>
      </c>
      <c r="D357" s="1" t="s">
        <v>49</v>
      </c>
      <c r="E357" s="1">
        <v>2579.63</v>
      </c>
      <c r="F357" s="1">
        <v>8</v>
      </c>
      <c r="G357" s="1" t="s">
        <v>26</v>
      </c>
      <c r="H357" s="1">
        <v>816.54</v>
      </c>
      <c r="I357" s="1">
        <v>1191.9000000000001</v>
      </c>
      <c r="J357" s="1" t="s">
        <v>27</v>
      </c>
      <c r="K357" s="1">
        <v>0.03</v>
      </c>
      <c r="L357" s="1" t="s">
        <v>18</v>
      </c>
      <c r="M357" s="1" t="s">
        <v>21</v>
      </c>
      <c r="N357" s="1">
        <f>SUM(Table3[[#This Row],[Unit_Price]]-Table3[[#This Row],[Unit_Cost]])</f>
        <v>375.36000000000013</v>
      </c>
      <c r="O357" s="7"/>
      <c r="P357" s="7"/>
      <c r="Q357" s="7"/>
      <c r="S357"/>
    </row>
    <row r="358" spans="1:19" x14ac:dyDescent="0.3">
      <c r="A358" s="1">
        <v>1097</v>
      </c>
      <c r="B358" s="2">
        <v>45011</v>
      </c>
      <c r="C358" s="1" t="s">
        <v>22</v>
      </c>
      <c r="D358" s="1" t="s">
        <v>50</v>
      </c>
      <c r="E358" s="1">
        <v>6286.25</v>
      </c>
      <c r="F358" s="1">
        <v>7</v>
      </c>
      <c r="G358" s="1" t="s">
        <v>26</v>
      </c>
      <c r="H358" s="1">
        <v>1896.35</v>
      </c>
      <c r="I358" s="1">
        <v>2394.1999999999998</v>
      </c>
      <c r="J358" s="1" t="s">
        <v>27</v>
      </c>
      <c r="K358" s="1">
        <v>0.22</v>
      </c>
      <c r="L358" s="1" t="s">
        <v>25</v>
      </c>
      <c r="M358" s="1" t="s">
        <v>19</v>
      </c>
      <c r="N358" s="1">
        <f>SUM(Table3[[#This Row],[Unit_Price]]-Table3[[#This Row],[Unit_Cost]])</f>
        <v>497.84999999999991</v>
      </c>
      <c r="O358" s="7"/>
      <c r="P358" s="7"/>
      <c r="Q358" s="7"/>
      <c r="S358"/>
    </row>
    <row r="359" spans="1:19" x14ac:dyDescent="0.3">
      <c r="A359" s="1">
        <v>1069</v>
      </c>
      <c r="B359" s="2">
        <v>45073</v>
      </c>
      <c r="C359" s="1" t="s">
        <v>29</v>
      </c>
      <c r="D359" s="1" t="s">
        <v>44</v>
      </c>
      <c r="E359" s="1">
        <v>5760.29</v>
      </c>
      <c r="F359" s="1">
        <v>44</v>
      </c>
      <c r="G359" s="1" t="s">
        <v>31</v>
      </c>
      <c r="H359" s="1">
        <v>1084.73</v>
      </c>
      <c r="I359" s="1">
        <v>1420.9</v>
      </c>
      <c r="J359" s="1" t="s">
        <v>17</v>
      </c>
      <c r="K359" s="1">
        <v>0.05</v>
      </c>
      <c r="L359" s="1" t="s">
        <v>28</v>
      </c>
      <c r="M359" s="1" t="s">
        <v>19</v>
      </c>
      <c r="N359" s="1">
        <f>SUM(Table3[[#This Row],[Unit_Price]]-Table3[[#This Row],[Unit_Cost]])</f>
        <v>336.17000000000007</v>
      </c>
      <c r="O359" s="7"/>
      <c r="P359" s="7"/>
      <c r="Q359" s="7"/>
      <c r="S359"/>
    </row>
    <row r="360" spans="1:19" x14ac:dyDescent="0.3">
      <c r="A360" s="1">
        <v>1061</v>
      </c>
      <c r="B360" s="2">
        <v>45038</v>
      </c>
      <c r="C360" s="1" t="s">
        <v>32</v>
      </c>
      <c r="D360" s="1" t="s">
        <v>45</v>
      </c>
      <c r="E360" s="1">
        <v>8345.02</v>
      </c>
      <c r="F360" s="1">
        <v>39</v>
      </c>
      <c r="G360" s="1" t="s">
        <v>31</v>
      </c>
      <c r="H360" s="1">
        <v>3494.19</v>
      </c>
      <c r="I360" s="1">
        <v>3746</v>
      </c>
      <c r="J360" s="1" t="s">
        <v>17</v>
      </c>
      <c r="K360" s="1">
        <v>0.25</v>
      </c>
      <c r="L360" s="1" t="s">
        <v>25</v>
      </c>
      <c r="M360" s="1" t="s">
        <v>21</v>
      </c>
      <c r="N360" s="1">
        <f>SUM(Table3[[#This Row],[Unit_Price]]-Table3[[#This Row],[Unit_Cost]])</f>
        <v>251.80999999999995</v>
      </c>
      <c r="O360" s="7"/>
      <c r="P360" s="7"/>
      <c r="Q360" s="7"/>
      <c r="S360"/>
    </row>
    <row r="361" spans="1:19" x14ac:dyDescent="0.3">
      <c r="A361" s="1">
        <v>1048</v>
      </c>
      <c r="B361" s="2">
        <v>44962</v>
      </c>
      <c r="C361" s="1" t="s">
        <v>22</v>
      </c>
      <c r="D361" s="1" t="s">
        <v>46</v>
      </c>
      <c r="E361" s="1">
        <v>9070.26</v>
      </c>
      <c r="F361" s="1">
        <v>42</v>
      </c>
      <c r="G361" s="1" t="s">
        <v>31</v>
      </c>
      <c r="H361" s="1">
        <v>4723.83</v>
      </c>
      <c r="I361" s="1">
        <v>5186.1899999999996</v>
      </c>
      <c r="J361" s="1" t="s">
        <v>17</v>
      </c>
      <c r="K361" s="1">
        <v>0.22</v>
      </c>
      <c r="L361" s="1" t="s">
        <v>28</v>
      </c>
      <c r="M361" s="1" t="s">
        <v>19</v>
      </c>
      <c r="N361" s="1">
        <f>SUM(Table3[[#This Row],[Unit_Price]]-Table3[[#This Row],[Unit_Cost]])</f>
        <v>462.35999999999967</v>
      </c>
      <c r="O361" s="7"/>
      <c r="P361" s="7"/>
      <c r="Q361" s="7"/>
      <c r="S361"/>
    </row>
    <row r="362" spans="1:19" x14ac:dyDescent="0.3">
      <c r="A362" s="1">
        <v>1019</v>
      </c>
      <c r="B362" s="2">
        <v>45211</v>
      </c>
      <c r="C362" s="1" t="s">
        <v>29</v>
      </c>
      <c r="D362" s="1" t="s">
        <v>47</v>
      </c>
      <c r="E362" s="1">
        <v>220.35</v>
      </c>
      <c r="F362" s="1">
        <v>16</v>
      </c>
      <c r="G362" s="1" t="s">
        <v>26</v>
      </c>
      <c r="H362" s="1">
        <v>4977.78</v>
      </c>
      <c r="I362" s="1">
        <v>4995.55</v>
      </c>
      <c r="J362" s="1" t="s">
        <v>27</v>
      </c>
      <c r="K362" s="1">
        <v>0.25</v>
      </c>
      <c r="L362" s="1" t="s">
        <v>28</v>
      </c>
      <c r="M362" s="1" t="s">
        <v>19</v>
      </c>
      <c r="N362" s="1">
        <f>SUM(Table3[[#This Row],[Unit_Price]]-Table3[[#This Row],[Unit_Cost]])</f>
        <v>17.770000000000437</v>
      </c>
      <c r="O362" s="7"/>
      <c r="P362" s="7"/>
      <c r="Q362" s="7"/>
      <c r="S362"/>
    </row>
    <row r="363" spans="1:19" x14ac:dyDescent="0.3">
      <c r="A363" s="1">
        <v>1004</v>
      </c>
      <c r="B363" s="2">
        <v>45114</v>
      </c>
      <c r="C363" s="1" t="s">
        <v>32</v>
      </c>
      <c r="D363" s="1" t="s">
        <v>48</v>
      </c>
      <c r="E363" s="1">
        <v>6772.8</v>
      </c>
      <c r="F363" s="1">
        <v>35</v>
      </c>
      <c r="G363" s="1" t="s">
        <v>26</v>
      </c>
      <c r="H363" s="1">
        <v>2278.87</v>
      </c>
      <c r="I363" s="1">
        <v>2646.5299999999902</v>
      </c>
      <c r="J363" s="1" t="s">
        <v>17</v>
      </c>
      <c r="K363" s="1">
        <v>0.09</v>
      </c>
      <c r="L363" s="1" t="s">
        <v>25</v>
      </c>
      <c r="M363" s="1" t="s">
        <v>19</v>
      </c>
      <c r="N363" s="1">
        <f>SUM(Table3[[#This Row],[Unit_Price]]-Table3[[#This Row],[Unit_Cost]])</f>
        <v>367.6599999999903</v>
      </c>
      <c r="O363" s="7"/>
      <c r="P363" s="7"/>
      <c r="Q363" s="7"/>
      <c r="S363"/>
    </row>
    <row r="364" spans="1:19" x14ac:dyDescent="0.3">
      <c r="A364" s="1">
        <v>1035</v>
      </c>
      <c r="B364" s="2">
        <v>45008</v>
      </c>
      <c r="C364" s="1" t="s">
        <v>22</v>
      </c>
      <c r="D364" s="1" t="s">
        <v>49</v>
      </c>
      <c r="E364" s="1">
        <v>613.16999999999996</v>
      </c>
      <c r="F364" s="1">
        <v>30</v>
      </c>
      <c r="G364" s="1" t="s">
        <v>26</v>
      </c>
      <c r="H364" s="1">
        <v>1300.03</v>
      </c>
      <c r="I364" s="1">
        <v>1745.52</v>
      </c>
      <c r="J364" s="1" t="s">
        <v>27</v>
      </c>
      <c r="K364" s="1">
        <v>0.09</v>
      </c>
      <c r="L364" s="1" t="s">
        <v>18</v>
      </c>
      <c r="M364" s="1" t="s">
        <v>21</v>
      </c>
      <c r="N364" s="1">
        <f>SUM(Table3[[#This Row],[Unit_Price]]-Table3[[#This Row],[Unit_Cost]])</f>
        <v>445.49</v>
      </c>
      <c r="O364" s="7"/>
      <c r="P364" s="7"/>
      <c r="Q364" s="7"/>
      <c r="S364"/>
    </row>
    <row r="365" spans="1:19" x14ac:dyDescent="0.3">
      <c r="A365" s="1">
        <v>1064</v>
      </c>
      <c r="B365" s="2">
        <v>44928</v>
      </c>
      <c r="C365" s="1" t="s">
        <v>22</v>
      </c>
      <c r="D365" s="1" t="s">
        <v>50</v>
      </c>
      <c r="E365" s="1">
        <v>5533.7</v>
      </c>
      <c r="F365" s="1">
        <v>10</v>
      </c>
      <c r="G365" s="1" t="s">
        <v>31</v>
      </c>
      <c r="H365" s="1">
        <v>2242.0100000000002</v>
      </c>
      <c r="I365" s="1">
        <v>2282.23</v>
      </c>
      <c r="J365" s="1" t="s">
        <v>17</v>
      </c>
      <c r="K365" s="1">
        <v>0.2</v>
      </c>
      <c r="L365" s="1" t="s">
        <v>28</v>
      </c>
      <c r="M365" s="1" t="s">
        <v>19</v>
      </c>
      <c r="N365" s="1">
        <f>SUM(Table3[[#This Row],[Unit_Price]]-Table3[[#This Row],[Unit_Cost]])</f>
        <v>40.2199999999998</v>
      </c>
      <c r="O365" s="7"/>
      <c r="P365" s="7"/>
      <c r="Q365" s="7"/>
      <c r="S365"/>
    </row>
    <row r="366" spans="1:19" x14ac:dyDescent="0.3">
      <c r="A366" s="1">
        <v>1049</v>
      </c>
      <c r="B366" s="2">
        <v>45229</v>
      </c>
      <c r="C366" s="1" t="s">
        <v>33</v>
      </c>
      <c r="D366" s="1" t="s">
        <v>44</v>
      </c>
      <c r="E366" s="1">
        <v>2947.56</v>
      </c>
      <c r="F366" s="1">
        <v>38</v>
      </c>
      <c r="G366" s="1" t="s">
        <v>24</v>
      </c>
      <c r="H366" s="1">
        <v>4243.9799999999996</v>
      </c>
      <c r="I366" s="1">
        <v>4474.5099999999902</v>
      </c>
      <c r="J366" s="1" t="s">
        <v>27</v>
      </c>
      <c r="K366" s="1">
        <v>0.01</v>
      </c>
      <c r="L366" s="1" t="s">
        <v>28</v>
      </c>
      <c r="M366" s="1" t="s">
        <v>19</v>
      </c>
      <c r="N366" s="1">
        <f>SUM(Table3[[#This Row],[Unit_Price]]-Table3[[#This Row],[Unit_Cost]])</f>
        <v>230.52999999999065</v>
      </c>
      <c r="O366" s="7"/>
      <c r="P366" s="7"/>
      <c r="Q366" s="7"/>
      <c r="S366"/>
    </row>
    <row r="367" spans="1:19" x14ac:dyDescent="0.3">
      <c r="A367" s="1">
        <v>1017</v>
      </c>
      <c r="B367" s="2">
        <v>45123</v>
      </c>
      <c r="C367" s="1" t="s">
        <v>33</v>
      </c>
      <c r="D367" s="1" t="s">
        <v>45</v>
      </c>
      <c r="E367" s="1">
        <v>3137.09</v>
      </c>
      <c r="F367" s="1">
        <v>18</v>
      </c>
      <c r="G367" s="1" t="s">
        <v>16</v>
      </c>
      <c r="H367" s="1">
        <v>1069.73</v>
      </c>
      <c r="I367" s="1">
        <v>1180.04</v>
      </c>
      <c r="J367" s="1" t="s">
        <v>17</v>
      </c>
      <c r="K367" s="1">
        <v>0.22</v>
      </c>
      <c r="L367" s="1" t="s">
        <v>25</v>
      </c>
      <c r="M367" s="1" t="s">
        <v>19</v>
      </c>
      <c r="N367" s="1">
        <f>SUM(Table3[[#This Row],[Unit_Price]]-Table3[[#This Row],[Unit_Cost]])</f>
        <v>110.30999999999995</v>
      </c>
      <c r="O367" s="7"/>
      <c r="P367" s="7"/>
      <c r="Q367" s="7"/>
      <c r="S367"/>
    </row>
    <row r="368" spans="1:19" x14ac:dyDescent="0.3">
      <c r="A368" s="1">
        <v>1044</v>
      </c>
      <c r="B368" s="2">
        <v>44937</v>
      </c>
      <c r="C368" s="1" t="s">
        <v>32</v>
      </c>
      <c r="D368" s="1" t="s">
        <v>46</v>
      </c>
      <c r="E368" s="1">
        <v>3594.29</v>
      </c>
      <c r="F368" s="1">
        <v>5</v>
      </c>
      <c r="G368" s="1" t="s">
        <v>24</v>
      </c>
      <c r="H368" s="1">
        <v>4762.87</v>
      </c>
      <c r="I368" s="1">
        <v>5050.46</v>
      </c>
      <c r="J368" s="1" t="s">
        <v>27</v>
      </c>
      <c r="K368" s="1">
        <v>0.25</v>
      </c>
      <c r="L368" s="1" t="s">
        <v>18</v>
      </c>
      <c r="M368" s="1" t="s">
        <v>21</v>
      </c>
      <c r="N368" s="1">
        <f>SUM(Table3[[#This Row],[Unit_Price]]-Table3[[#This Row],[Unit_Cost]])</f>
        <v>287.59000000000015</v>
      </c>
      <c r="O368" s="7"/>
      <c r="P368" s="7"/>
      <c r="Q368" s="7"/>
      <c r="S368"/>
    </row>
    <row r="369" spans="1:19" x14ac:dyDescent="0.3">
      <c r="A369" s="1">
        <v>1092</v>
      </c>
      <c r="B369" s="2">
        <v>45160</v>
      </c>
      <c r="C369" s="1" t="s">
        <v>22</v>
      </c>
      <c r="D369" s="1" t="s">
        <v>47</v>
      </c>
      <c r="E369" s="1">
        <v>6250.8</v>
      </c>
      <c r="F369" s="1">
        <v>29</v>
      </c>
      <c r="G369" s="1" t="s">
        <v>26</v>
      </c>
      <c r="H369" s="1">
        <v>1742.24</v>
      </c>
      <c r="I369" s="1">
        <v>2070.52</v>
      </c>
      <c r="J369" s="1" t="s">
        <v>27</v>
      </c>
      <c r="K369" s="1">
        <v>0.12</v>
      </c>
      <c r="L369" s="1" t="s">
        <v>18</v>
      </c>
      <c r="M369" s="1" t="s">
        <v>19</v>
      </c>
      <c r="N369" s="1">
        <f>SUM(Table3[[#This Row],[Unit_Price]]-Table3[[#This Row],[Unit_Cost]])</f>
        <v>328.28</v>
      </c>
      <c r="O369" s="7"/>
      <c r="P369" s="7"/>
      <c r="Q369" s="7"/>
      <c r="S369"/>
    </row>
    <row r="370" spans="1:19" x14ac:dyDescent="0.3">
      <c r="A370" s="1">
        <v>1030</v>
      </c>
      <c r="B370" s="2">
        <v>45121</v>
      </c>
      <c r="C370" s="1" t="s">
        <v>14</v>
      </c>
      <c r="D370" s="1" t="s">
        <v>48</v>
      </c>
      <c r="E370" s="1">
        <v>3407.09</v>
      </c>
      <c r="F370" s="1">
        <v>39</v>
      </c>
      <c r="G370" s="1" t="s">
        <v>26</v>
      </c>
      <c r="H370" s="1">
        <v>4929.7299999999996</v>
      </c>
      <c r="I370" s="1">
        <v>5088.0199999999904</v>
      </c>
      <c r="J370" s="1" t="s">
        <v>27</v>
      </c>
      <c r="K370" s="1">
        <v>0.23</v>
      </c>
      <c r="L370" s="1" t="s">
        <v>25</v>
      </c>
      <c r="M370" s="1" t="s">
        <v>21</v>
      </c>
      <c r="N370" s="1">
        <f>SUM(Table3[[#This Row],[Unit_Price]]-Table3[[#This Row],[Unit_Cost]])</f>
        <v>158.28999999999087</v>
      </c>
      <c r="O370" s="7"/>
      <c r="P370" s="7"/>
      <c r="Q370" s="7"/>
      <c r="S370"/>
    </row>
    <row r="371" spans="1:19" x14ac:dyDescent="0.3">
      <c r="A371" s="1">
        <v>1093</v>
      </c>
      <c r="B371" s="2">
        <v>45045</v>
      </c>
      <c r="C371" s="1" t="s">
        <v>33</v>
      </c>
      <c r="D371" s="1" t="s">
        <v>49</v>
      </c>
      <c r="E371" s="1">
        <v>7353.72</v>
      </c>
      <c r="F371" s="1">
        <v>34</v>
      </c>
      <c r="G371" s="1" t="s">
        <v>24</v>
      </c>
      <c r="H371" s="1">
        <v>4201.1099999999997</v>
      </c>
      <c r="I371" s="1">
        <v>4436.5</v>
      </c>
      <c r="J371" s="1" t="s">
        <v>27</v>
      </c>
      <c r="K371" s="1">
        <v>0.05</v>
      </c>
      <c r="L371" s="1" t="s">
        <v>18</v>
      </c>
      <c r="M371" s="1" t="s">
        <v>19</v>
      </c>
      <c r="N371" s="1">
        <f>SUM(Table3[[#This Row],[Unit_Price]]-Table3[[#This Row],[Unit_Cost]])</f>
        <v>235.39000000000033</v>
      </c>
      <c r="O371" s="7"/>
      <c r="P371" s="7"/>
      <c r="Q371" s="7"/>
      <c r="S371"/>
    </row>
    <row r="372" spans="1:19" x14ac:dyDescent="0.3">
      <c r="A372" s="1">
        <v>1046</v>
      </c>
      <c r="B372" s="2">
        <v>44946</v>
      </c>
      <c r="C372" s="1" t="s">
        <v>32</v>
      </c>
      <c r="D372" s="1" t="s">
        <v>50</v>
      </c>
      <c r="E372" s="1">
        <v>4104.82</v>
      </c>
      <c r="F372" s="1">
        <v>43</v>
      </c>
      <c r="G372" s="1" t="s">
        <v>26</v>
      </c>
      <c r="H372" s="1">
        <v>4052.42</v>
      </c>
      <c r="I372" s="1">
        <v>4199.3</v>
      </c>
      <c r="J372" s="1" t="s">
        <v>27</v>
      </c>
      <c r="K372" s="1">
        <v>0.1</v>
      </c>
      <c r="L372" s="1" t="s">
        <v>25</v>
      </c>
      <c r="M372" s="1" t="s">
        <v>21</v>
      </c>
      <c r="N372" s="1">
        <f>SUM(Table3[[#This Row],[Unit_Price]]-Table3[[#This Row],[Unit_Cost]])</f>
        <v>146.88000000000011</v>
      </c>
      <c r="O372" s="7"/>
      <c r="P372" s="7"/>
      <c r="Q372" s="7"/>
      <c r="S372"/>
    </row>
    <row r="373" spans="1:19" x14ac:dyDescent="0.3">
      <c r="A373" s="1">
        <v>1006</v>
      </c>
      <c r="B373" s="2">
        <v>45187</v>
      </c>
      <c r="C373" s="1" t="s">
        <v>22</v>
      </c>
      <c r="D373" s="1" t="s">
        <v>44</v>
      </c>
      <c r="E373" s="1">
        <v>776.7</v>
      </c>
      <c r="F373" s="1">
        <v>45</v>
      </c>
      <c r="G373" s="1" t="s">
        <v>16</v>
      </c>
      <c r="H373" s="1">
        <v>1623.63</v>
      </c>
      <c r="I373" s="1">
        <v>1814.63</v>
      </c>
      <c r="J373" s="1" t="s">
        <v>27</v>
      </c>
      <c r="K373" s="1">
        <v>0.28999999999999998</v>
      </c>
      <c r="L373" s="1" t="s">
        <v>25</v>
      </c>
      <c r="M373" s="1" t="s">
        <v>21</v>
      </c>
      <c r="N373" s="1">
        <f>SUM(Table3[[#This Row],[Unit_Price]]-Table3[[#This Row],[Unit_Cost]])</f>
        <v>191</v>
      </c>
      <c r="O373" s="7"/>
      <c r="P373" s="7"/>
      <c r="Q373" s="7"/>
      <c r="S373"/>
    </row>
    <row r="374" spans="1:19" x14ac:dyDescent="0.3">
      <c r="A374" s="1">
        <v>1099</v>
      </c>
      <c r="B374" s="2">
        <v>45219</v>
      </c>
      <c r="C374" s="1" t="s">
        <v>22</v>
      </c>
      <c r="D374" s="1" t="s">
        <v>45</v>
      </c>
      <c r="E374" s="1">
        <v>7859.22</v>
      </c>
      <c r="F374" s="1">
        <v>23</v>
      </c>
      <c r="G374" s="1" t="s">
        <v>26</v>
      </c>
      <c r="H374" s="1">
        <v>93.45</v>
      </c>
      <c r="I374" s="1">
        <v>181.62</v>
      </c>
      <c r="J374" s="1" t="s">
        <v>17</v>
      </c>
      <c r="K374" s="1">
        <v>0.3</v>
      </c>
      <c r="L374" s="1" t="s">
        <v>25</v>
      </c>
      <c r="M374" s="1" t="s">
        <v>21</v>
      </c>
      <c r="N374" s="1">
        <f>SUM(Table3[[#This Row],[Unit_Price]]-Table3[[#This Row],[Unit_Cost]])</f>
        <v>88.17</v>
      </c>
      <c r="O374" s="7"/>
      <c r="P374" s="7"/>
      <c r="Q374" s="7"/>
      <c r="S374"/>
    </row>
    <row r="375" spans="1:19" x14ac:dyDescent="0.3">
      <c r="A375" s="1">
        <v>1037</v>
      </c>
      <c r="B375" s="2">
        <v>45182</v>
      </c>
      <c r="C375" s="1" t="s">
        <v>14</v>
      </c>
      <c r="D375" s="1" t="s">
        <v>46</v>
      </c>
      <c r="E375" s="1">
        <v>2929.01</v>
      </c>
      <c r="F375" s="1">
        <v>5</v>
      </c>
      <c r="G375" s="1" t="s">
        <v>16</v>
      </c>
      <c r="H375" s="1">
        <v>1941.56</v>
      </c>
      <c r="I375" s="1">
        <v>2385.48</v>
      </c>
      <c r="J375" s="1" t="s">
        <v>17</v>
      </c>
      <c r="K375" s="1">
        <v>0.15</v>
      </c>
      <c r="L375" s="1" t="s">
        <v>28</v>
      </c>
      <c r="M375" s="1" t="s">
        <v>19</v>
      </c>
      <c r="N375" s="1">
        <f>SUM(Table3[[#This Row],[Unit_Price]]-Table3[[#This Row],[Unit_Cost]])</f>
        <v>443.92000000000007</v>
      </c>
      <c r="O375" s="7"/>
      <c r="P375" s="7"/>
      <c r="Q375" s="7"/>
      <c r="S375"/>
    </row>
    <row r="376" spans="1:19" x14ac:dyDescent="0.3">
      <c r="A376" s="1">
        <v>1024</v>
      </c>
      <c r="B376" s="2">
        <v>45148</v>
      </c>
      <c r="C376" s="1" t="s">
        <v>32</v>
      </c>
      <c r="D376" s="1" t="s">
        <v>47</v>
      </c>
      <c r="E376" s="1">
        <v>4384.3900000000003</v>
      </c>
      <c r="F376" s="1">
        <v>30</v>
      </c>
      <c r="G376" s="1" t="s">
        <v>24</v>
      </c>
      <c r="H376" s="1">
        <v>1543.96</v>
      </c>
      <c r="I376" s="1">
        <v>1558.87</v>
      </c>
      <c r="J376" s="1" t="s">
        <v>17</v>
      </c>
      <c r="K376" s="1">
        <v>0.28000000000000003</v>
      </c>
      <c r="L376" s="1" t="s">
        <v>28</v>
      </c>
      <c r="M376" s="1" t="s">
        <v>19</v>
      </c>
      <c r="N376" s="1">
        <f>SUM(Table3[[#This Row],[Unit_Price]]-Table3[[#This Row],[Unit_Cost]])</f>
        <v>14.909999999999854</v>
      </c>
      <c r="O376" s="7"/>
      <c r="P376" s="7"/>
      <c r="Q376" s="7"/>
      <c r="S376"/>
    </row>
    <row r="377" spans="1:19" x14ac:dyDescent="0.3">
      <c r="A377" s="1">
        <v>1093</v>
      </c>
      <c r="B377" s="2">
        <v>45152</v>
      </c>
      <c r="C377" s="1" t="s">
        <v>22</v>
      </c>
      <c r="D377" s="1" t="s">
        <v>48</v>
      </c>
      <c r="E377" s="1">
        <v>6885.89</v>
      </c>
      <c r="F377" s="1">
        <v>6</v>
      </c>
      <c r="G377" s="1" t="s">
        <v>24</v>
      </c>
      <c r="H377" s="1">
        <v>235.12</v>
      </c>
      <c r="I377" s="1">
        <v>677.5</v>
      </c>
      <c r="J377" s="1" t="s">
        <v>17</v>
      </c>
      <c r="K377" s="1">
        <v>0.16</v>
      </c>
      <c r="L377" s="1" t="s">
        <v>28</v>
      </c>
      <c r="M377" s="1" t="s">
        <v>19</v>
      </c>
      <c r="N377" s="1">
        <f>SUM(Table3[[#This Row],[Unit_Price]]-Table3[[#This Row],[Unit_Cost]])</f>
        <v>442.38</v>
      </c>
      <c r="O377" s="7"/>
      <c r="P377" s="7"/>
      <c r="Q377" s="7"/>
      <c r="S377"/>
    </row>
    <row r="378" spans="1:19" x14ac:dyDescent="0.3">
      <c r="A378" s="1">
        <v>1046</v>
      </c>
      <c r="B378" s="2">
        <v>44979</v>
      </c>
      <c r="C378" s="1" t="s">
        <v>33</v>
      </c>
      <c r="D378" s="1" t="s">
        <v>49</v>
      </c>
      <c r="E378" s="1">
        <v>3391.32</v>
      </c>
      <c r="F378" s="1">
        <v>46</v>
      </c>
      <c r="G378" s="1" t="s">
        <v>26</v>
      </c>
      <c r="H378" s="1">
        <v>2551.56</v>
      </c>
      <c r="I378" s="1">
        <v>2841.68</v>
      </c>
      <c r="J378" s="1" t="s">
        <v>27</v>
      </c>
      <c r="K378" s="1">
        <v>0.09</v>
      </c>
      <c r="L378" s="1" t="s">
        <v>25</v>
      </c>
      <c r="M378" s="1" t="s">
        <v>21</v>
      </c>
      <c r="N378" s="1">
        <f>SUM(Table3[[#This Row],[Unit_Price]]-Table3[[#This Row],[Unit_Cost]])</f>
        <v>290.11999999999989</v>
      </c>
      <c r="O378" s="7"/>
      <c r="P378" s="7"/>
      <c r="Q378" s="7"/>
      <c r="S378"/>
    </row>
    <row r="379" spans="1:19" x14ac:dyDescent="0.3">
      <c r="A379" s="1">
        <v>1053</v>
      </c>
      <c r="B379" s="2">
        <v>45281</v>
      </c>
      <c r="C379" s="1" t="s">
        <v>14</v>
      </c>
      <c r="D379" s="1" t="s">
        <v>50</v>
      </c>
      <c r="E379" s="1">
        <v>660.2</v>
      </c>
      <c r="F379" s="1">
        <v>44</v>
      </c>
      <c r="G379" s="1" t="s">
        <v>16</v>
      </c>
      <c r="H379" s="1">
        <v>2045</v>
      </c>
      <c r="I379" s="1">
        <v>2217.5100000000002</v>
      </c>
      <c r="J379" s="1" t="s">
        <v>17</v>
      </c>
      <c r="K379" s="1">
        <v>0.08</v>
      </c>
      <c r="L379" s="1" t="s">
        <v>28</v>
      </c>
      <c r="M379" s="1" t="s">
        <v>19</v>
      </c>
      <c r="N379" s="1">
        <f>SUM(Table3[[#This Row],[Unit_Price]]-Table3[[#This Row],[Unit_Cost]])</f>
        <v>172.51000000000022</v>
      </c>
      <c r="O379" s="7"/>
      <c r="P379" s="7"/>
      <c r="Q379" s="7"/>
      <c r="S379"/>
    </row>
    <row r="380" spans="1:19" x14ac:dyDescent="0.3">
      <c r="A380" s="1">
        <v>1095</v>
      </c>
      <c r="B380" s="2">
        <v>45268</v>
      </c>
      <c r="C380" s="1" t="s">
        <v>32</v>
      </c>
      <c r="D380" s="1" t="s">
        <v>44</v>
      </c>
      <c r="E380" s="1">
        <v>3801.82</v>
      </c>
      <c r="F380" s="1">
        <v>4</v>
      </c>
      <c r="G380" s="1" t="s">
        <v>26</v>
      </c>
      <c r="H380" s="1">
        <v>3191.05</v>
      </c>
      <c r="I380" s="1">
        <v>3555.35</v>
      </c>
      <c r="J380" s="1" t="s">
        <v>27</v>
      </c>
      <c r="K380" s="1">
        <v>0.28000000000000003</v>
      </c>
      <c r="L380" s="1" t="s">
        <v>28</v>
      </c>
      <c r="M380" s="1" t="s">
        <v>19</v>
      </c>
      <c r="N380" s="1">
        <f>SUM(Table3[[#This Row],[Unit_Price]]-Table3[[#This Row],[Unit_Cost]])</f>
        <v>364.29999999999973</v>
      </c>
      <c r="O380" s="7"/>
      <c r="P380" s="7"/>
      <c r="Q380" s="7"/>
      <c r="S380"/>
    </row>
    <row r="381" spans="1:19" x14ac:dyDescent="0.3">
      <c r="A381" s="1">
        <v>1099</v>
      </c>
      <c r="B381" s="2">
        <v>45290</v>
      </c>
      <c r="C381" s="1" t="s">
        <v>14</v>
      </c>
      <c r="D381" s="1" t="s">
        <v>45</v>
      </c>
      <c r="E381" s="1">
        <v>9450.0400000000009</v>
      </c>
      <c r="F381" s="1">
        <v>29</v>
      </c>
      <c r="G381" s="1" t="s">
        <v>31</v>
      </c>
      <c r="H381" s="1">
        <v>3124.87</v>
      </c>
      <c r="I381" s="1">
        <v>3383.67</v>
      </c>
      <c r="J381" s="1" t="s">
        <v>27</v>
      </c>
      <c r="K381" s="1">
        <v>0.05</v>
      </c>
      <c r="L381" s="1" t="s">
        <v>28</v>
      </c>
      <c r="M381" s="1" t="s">
        <v>21</v>
      </c>
      <c r="N381" s="1">
        <f>SUM(Table3[[#This Row],[Unit_Price]]-Table3[[#This Row],[Unit_Cost]])</f>
        <v>258.80000000000018</v>
      </c>
      <c r="O381" s="7"/>
      <c r="P381" s="7"/>
      <c r="Q381" s="7"/>
      <c r="S381"/>
    </row>
    <row r="382" spans="1:19" x14ac:dyDescent="0.3">
      <c r="A382" s="1">
        <v>1060</v>
      </c>
      <c r="B382" s="2">
        <v>45206</v>
      </c>
      <c r="C382" s="1" t="s">
        <v>33</v>
      </c>
      <c r="D382" s="1" t="s">
        <v>46</v>
      </c>
      <c r="E382" s="1">
        <v>6453.17</v>
      </c>
      <c r="F382" s="1">
        <v>23</v>
      </c>
      <c r="G382" s="1" t="s">
        <v>31</v>
      </c>
      <c r="H382" s="1">
        <v>647.70000000000005</v>
      </c>
      <c r="I382" s="1">
        <v>902.26</v>
      </c>
      <c r="J382" s="1" t="s">
        <v>27</v>
      </c>
      <c r="K382" s="1">
        <v>0.17</v>
      </c>
      <c r="L382" s="1" t="s">
        <v>25</v>
      </c>
      <c r="M382" s="1" t="s">
        <v>19</v>
      </c>
      <c r="N382" s="1">
        <f>SUM(Table3[[#This Row],[Unit_Price]]-Table3[[#This Row],[Unit_Cost]])</f>
        <v>254.55999999999995</v>
      </c>
      <c r="O382" s="7"/>
      <c r="P382" s="7"/>
      <c r="Q382" s="7"/>
      <c r="S382"/>
    </row>
    <row r="383" spans="1:19" x14ac:dyDescent="0.3">
      <c r="A383" s="1">
        <v>1097</v>
      </c>
      <c r="B383" s="2">
        <v>45007</v>
      </c>
      <c r="C383" s="1" t="s">
        <v>32</v>
      </c>
      <c r="D383" s="1" t="s">
        <v>47</v>
      </c>
      <c r="E383" s="1">
        <v>6747.64</v>
      </c>
      <c r="F383" s="1">
        <v>6</v>
      </c>
      <c r="G383" s="1" t="s">
        <v>31</v>
      </c>
      <c r="H383" s="1">
        <v>4885.9799999999996</v>
      </c>
      <c r="I383" s="1">
        <v>4949.95</v>
      </c>
      <c r="J383" s="1" t="s">
        <v>17</v>
      </c>
      <c r="K383" s="1">
        <v>0.17</v>
      </c>
      <c r="L383" s="1" t="s">
        <v>25</v>
      </c>
      <c r="M383" s="1" t="s">
        <v>19</v>
      </c>
      <c r="N383" s="1">
        <f>SUM(Table3[[#This Row],[Unit_Price]]-Table3[[#This Row],[Unit_Cost]])</f>
        <v>63.970000000000255</v>
      </c>
      <c r="O383" s="7"/>
      <c r="P383" s="7"/>
      <c r="Q383" s="7"/>
      <c r="S383"/>
    </row>
    <row r="384" spans="1:19" x14ac:dyDescent="0.3">
      <c r="A384" s="1">
        <v>1063</v>
      </c>
      <c r="B384" s="2">
        <v>45128</v>
      </c>
      <c r="C384" s="1" t="s">
        <v>14</v>
      </c>
      <c r="D384" s="1" t="s">
        <v>48</v>
      </c>
      <c r="E384" s="1">
        <v>6359.59</v>
      </c>
      <c r="F384" s="1">
        <v>32</v>
      </c>
      <c r="G384" s="1" t="s">
        <v>31</v>
      </c>
      <c r="H384" s="1">
        <v>975.31</v>
      </c>
      <c r="I384" s="1">
        <v>1176.17</v>
      </c>
      <c r="J384" s="1" t="s">
        <v>27</v>
      </c>
      <c r="K384" s="1">
        <v>0.22</v>
      </c>
      <c r="L384" s="1" t="s">
        <v>25</v>
      </c>
      <c r="M384" s="1" t="s">
        <v>21</v>
      </c>
      <c r="N384" s="1">
        <f>SUM(Table3[[#This Row],[Unit_Price]]-Table3[[#This Row],[Unit_Cost]])</f>
        <v>200.86000000000013</v>
      </c>
      <c r="O384" s="7"/>
      <c r="P384" s="7"/>
      <c r="Q384" s="7"/>
      <c r="S384"/>
    </row>
    <row r="385" spans="1:19" x14ac:dyDescent="0.3">
      <c r="A385" s="1">
        <v>1085</v>
      </c>
      <c r="B385" s="2">
        <v>45084</v>
      </c>
      <c r="C385" s="1" t="s">
        <v>29</v>
      </c>
      <c r="D385" s="1" t="s">
        <v>49</v>
      </c>
      <c r="E385" s="1">
        <v>2070.02</v>
      </c>
      <c r="F385" s="1">
        <v>42</v>
      </c>
      <c r="G385" s="1" t="s">
        <v>26</v>
      </c>
      <c r="H385" s="1">
        <v>2254.11</v>
      </c>
      <c r="I385" s="1">
        <v>2382.23</v>
      </c>
      <c r="J385" s="1" t="s">
        <v>17</v>
      </c>
      <c r="K385" s="1">
        <v>0.15</v>
      </c>
      <c r="L385" s="1" t="s">
        <v>28</v>
      </c>
      <c r="M385" s="1" t="s">
        <v>21</v>
      </c>
      <c r="N385" s="1">
        <f>SUM(Table3[[#This Row],[Unit_Price]]-Table3[[#This Row],[Unit_Cost]])</f>
        <v>128.11999999999989</v>
      </c>
      <c r="O385" s="7"/>
      <c r="P385" s="7"/>
      <c r="Q385" s="7"/>
      <c r="S385"/>
    </row>
    <row r="386" spans="1:19" x14ac:dyDescent="0.3">
      <c r="A386" s="1">
        <v>1032</v>
      </c>
      <c r="B386" s="2">
        <v>45046</v>
      </c>
      <c r="C386" s="1" t="s">
        <v>33</v>
      </c>
      <c r="D386" s="1" t="s">
        <v>50</v>
      </c>
      <c r="E386" s="1">
        <v>4241.51</v>
      </c>
      <c r="F386" s="1">
        <v>18</v>
      </c>
      <c r="G386" s="1" t="s">
        <v>31</v>
      </c>
      <c r="H386" s="1">
        <v>2466.1799999999998</v>
      </c>
      <c r="I386" s="1">
        <v>2483.87</v>
      </c>
      <c r="J386" s="1" t="s">
        <v>17</v>
      </c>
      <c r="K386" s="1">
        <v>0.08</v>
      </c>
      <c r="L386" s="1" t="s">
        <v>18</v>
      </c>
      <c r="M386" s="1" t="s">
        <v>19</v>
      </c>
      <c r="N386" s="1">
        <f>SUM(Table3[[#This Row],[Unit_Price]]-Table3[[#This Row],[Unit_Cost]])</f>
        <v>17.690000000000055</v>
      </c>
      <c r="O386" s="7"/>
      <c r="P386" s="7"/>
      <c r="Q386" s="7"/>
      <c r="S386"/>
    </row>
    <row r="387" spans="1:19" x14ac:dyDescent="0.3">
      <c r="A387" s="1">
        <v>1087</v>
      </c>
      <c r="B387" s="2">
        <v>44985</v>
      </c>
      <c r="C387" s="1" t="s">
        <v>33</v>
      </c>
      <c r="D387" s="1" t="s">
        <v>44</v>
      </c>
      <c r="E387" s="1">
        <v>7534.3</v>
      </c>
      <c r="F387" s="1">
        <v>15</v>
      </c>
      <c r="G387" s="1" t="s">
        <v>16</v>
      </c>
      <c r="H387" s="1">
        <v>4074.66</v>
      </c>
      <c r="I387" s="1">
        <v>4261.1099999999997</v>
      </c>
      <c r="J387" s="1" t="s">
        <v>17</v>
      </c>
      <c r="K387" s="1">
        <v>0.05</v>
      </c>
      <c r="L387" s="1" t="s">
        <v>28</v>
      </c>
      <c r="M387" s="1" t="s">
        <v>21</v>
      </c>
      <c r="N387" s="1">
        <f>SUM(Table3[[#This Row],[Unit_Price]]-Table3[[#This Row],[Unit_Cost]])</f>
        <v>186.44999999999982</v>
      </c>
      <c r="O387" s="7"/>
      <c r="P387" s="7"/>
      <c r="Q387" s="7"/>
      <c r="S387"/>
    </row>
    <row r="388" spans="1:19" x14ac:dyDescent="0.3">
      <c r="A388" s="1">
        <v>1033</v>
      </c>
      <c r="B388" s="2">
        <v>45141</v>
      </c>
      <c r="C388" s="1" t="s">
        <v>33</v>
      </c>
      <c r="D388" s="1" t="s">
        <v>45</v>
      </c>
      <c r="E388" s="1">
        <v>1103.5899999999999</v>
      </c>
      <c r="F388" s="1">
        <v>40</v>
      </c>
      <c r="G388" s="1" t="s">
        <v>24</v>
      </c>
      <c r="H388" s="1">
        <v>541.19000000000005</v>
      </c>
      <c r="I388" s="1">
        <v>595.20000000000005</v>
      </c>
      <c r="J388" s="1" t="s">
        <v>17</v>
      </c>
      <c r="K388" s="1">
        <v>0.19</v>
      </c>
      <c r="L388" s="1" t="s">
        <v>28</v>
      </c>
      <c r="M388" s="1" t="s">
        <v>19</v>
      </c>
      <c r="N388" s="1">
        <f>SUM(Table3[[#This Row],[Unit_Price]]-Table3[[#This Row],[Unit_Cost]])</f>
        <v>54.009999999999991</v>
      </c>
      <c r="O388" s="7"/>
      <c r="P388" s="7"/>
      <c r="Q388" s="7"/>
      <c r="S388"/>
    </row>
    <row r="389" spans="1:19" x14ac:dyDescent="0.3">
      <c r="A389" s="1">
        <v>1067</v>
      </c>
      <c r="B389" s="2">
        <v>45054</v>
      </c>
      <c r="C389" s="1" t="s">
        <v>29</v>
      </c>
      <c r="D389" s="1" t="s">
        <v>46</v>
      </c>
      <c r="E389" s="1">
        <v>2850.74</v>
      </c>
      <c r="F389" s="1">
        <v>32</v>
      </c>
      <c r="G389" s="1" t="s">
        <v>24</v>
      </c>
      <c r="H389" s="1">
        <v>2171.79</v>
      </c>
      <c r="I389" s="1">
        <v>2307.64</v>
      </c>
      <c r="J389" s="1" t="s">
        <v>17</v>
      </c>
      <c r="K389" s="1">
        <v>0.22</v>
      </c>
      <c r="L389" s="1" t="s">
        <v>25</v>
      </c>
      <c r="M389" s="1" t="s">
        <v>19</v>
      </c>
      <c r="N389" s="1">
        <f>SUM(Table3[[#This Row],[Unit_Price]]-Table3[[#This Row],[Unit_Cost]])</f>
        <v>135.84999999999991</v>
      </c>
      <c r="O389" s="7"/>
      <c r="P389" s="7"/>
      <c r="Q389" s="7"/>
      <c r="S389"/>
    </row>
    <row r="390" spans="1:19" x14ac:dyDescent="0.3">
      <c r="A390" s="1">
        <v>1018</v>
      </c>
      <c r="B390" s="2">
        <v>45150</v>
      </c>
      <c r="C390" s="1" t="s">
        <v>29</v>
      </c>
      <c r="D390" s="1" t="s">
        <v>47</v>
      </c>
      <c r="E390" s="1">
        <v>2835.56</v>
      </c>
      <c r="F390" s="1">
        <v>9</v>
      </c>
      <c r="G390" s="1" t="s">
        <v>31</v>
      </c>
      <c r="H390" s="1">
        <v>3161.09</v>
      </c>
      <c r="I390" s="1">
        <v>3216.42</v>
      </c>
      <c r="J390" s="1" t="s">
        <v>27</v>
      </c>
      <c r="K390" s="1">
        <v>0.17</v>
      </c>
      <c r="L390" s="1" t="s">
        <v>25</v>
      </c>
      <c r="M390" s="1" t="s">
        <v>19</v>
      </c>
      <c r="N390" s="1">
        <f>SUM(Table3[[#This Row],[Unit_Price]]-Table3[[#This Row],[Unit_Cost]])</f>
        <v>55.329999999999927</v>
      </c>
      <c r="O390" s="7"/>
      <c r="P390" s="7"/>
      <c r="Q390" s="7"/>
      <c r="S390"/>
    </row>
    <row r="391" spans="1:19" x14ac:dyDescent="0.3">
      <c r="A391" s="1">
        <v>1025</v>
      </c>
      <c r="B391" s="2">
        <v>45135</v>
      </c>
      <c r="C391" s="1" t="s">
        <v>22</v>
      </c>
      <c r="D391" s="1" t="s">
        <v>48</v>
      </c>
      <c r="E391" s="1">
        <v>4376.99</v>
      </c>
      <c r="F391" s="1">
        <v>37</v>
      </c>
      <c r="G391" s="1" t="s">
        <v>31</v>
      </c>
      <c r="H391" s="1">
        <v>1115.02</v>
      </c>
      <c r="I391" s="1">
        <v>1174.48</v>
      </c>
      <c r="J391" s="1" t="s">
        <v>27</v>
      </c>
      <c r="K391" s="1">
        <v>0.22</v>
      </c>
      <c r="L391" s="1" t="s">
        <v>28</v>
      </c>
      <c r="M391" s="1" t="s">
        <v>19</v>
      </c>
      <c r="N391" s="1">
        <f>SUM(Table3[[#This Row],[Unit_Price]]-Table3[[#This Row],[Unit_Cost]])</f>
        <v>59.460000000000036</v>
      </c>
      <c r="O391" s="7"/>
      <c r="P391" s="7"/>
      <c r="Q391" s="7"/>
      <c r="S391"/>
    </row>
    <row r="392" spans="1:19" x14ac:dyDescent="0.3">
      <c r="A392" s="1">
        <v>1095</v>
      </c>
      <c r="B392" s="2">
        <v>45041</v>
      </c>
      <c r="C392" s="1" t="s">
        <v>14</v>
      </c>
      <c r="D392" s="1" t="s">
        <v>49</v>
      </c>
      <c r="E392" s="1">
        <v>9805.65</v>
      </c>
      <c r="F392" s="1">
        <v>10</v>
      </c>
      <c r="G392" s="1" t="s">
        <v>31</v>
      </c>
      <c r="H392" s="1">
        <v>3155.97</v>
      </c>
      <c r="I392" s="1">
        <v>3263.49</v>
      </c>
      <c r="J392" s="1" t="s">
        <v>17</v>
      </c>
      <c r="K392" s="1">
        <v>0.04</v>
      </c>
      <c r="L392" s="1" t="s">
        <v>28</v>
      </c>
      <c r="M392" s="1" t="s">
        <v>19</v>
      </c>
      <c r="N392" s="1">
        <f>SUM(Table3[[#This Row],[Unit_Price]]-Table3[[#This Row],[Unit_Cost]])</f>
        <v>107.51999999999998</v>
      </c>
      <c r="O392" s="7"/>
      <c r="P392" s="7"/>
      <c r="Q392" s="7"/>
      <c r="S392"/>
    </row>
    <row r="393" spans="1:19" x14ac:dyDescent="0.3">
      <c r="A393" s="1">
        <v>1054</v>
      </c>
      <c r="B393" s="2">
        <v>45135</v>
      </c>
      <c r="C393" s="1" t="s">
        <v>22</v>
      </c>
      <c r="D393" s="1" t="s">
        <v>50</v>
      </c>
      <c r="E393" s="1">
        <v>768.28</v>
      </c>
      <c r="F393" s="1">
        <v>20</v>
      </c>
      <c r="G393" s="1" t="s">
        <v>26</v>
      </c>
      <c r="H393" s="1">
        <v>4622.1400000000003</v>
      </c>
      <c r="I393" s="1">
        <v>5122.07</v>
      </c>
      <c r="J393" s="1" t="s">
        <v>27</v>
      </c>
      <c r="K393" s="1">
        <v>0.26</v>
      </c>
      <c r="L393" s="1" t="s">
        <v>18</v>
      </c>
      <c r="M393" s="1" t="s">
        <v>21</v>
      </c>
      <c r="N393" s="1">
        <f>SUM(Table3[[#This Row],[Unit_Price]]-Table3[[#This Row],[Unit_Cost]])</f>
        <v>499.92999999999938</v>
      </c>
      <c r="O393" s="7"/>
      <c r="P393" s="7"/>
      <c r="Q393" s="7"/>
      <c r="S393"/>
    </row>
    <row r="394" spans="1:19" x14ac:dyDescent="0.3">
      <c r="A394" s="1">
        <v>1058</v>
      </c>
      <c r="B394" s="2">
        <v>44940</v>
      </c>
      <c r="C394" s="1" t="s">
        <v>14</v>
      </c>
      <c r="D394" s="1" t="s">
        <v>44</v>
      </c>
      <c r="E394" s="1">
        <v>5235.1400000000003</v>
      </c>
      <c r="F394" s="1">
        <v>6</v>
      </c>
      <c r="G394" s="1" t="s">
        <v>24</v>
      </c>
      <c r="H394" s="1">
        <v>4987.71</v>
      </c>
      <c r="I394" s="1">
        <v>4998.78</v>
      </c>
      <c r="J394" s="1" t="s">
        <v>17</v>
      </c>
      <c r="K394" s="1">
        <v>0.17</v>
      </c>
      <c r="L394" s="1" t="s">
        <v>18</v>
      </c>
      <c r="M394" s="1" t="s">
        <v>21</v>
      </c>
      <c r="N394" s="1">
        <f>SUM(Table3[[#This Row],[Unit_Price]]-Table3[[#This Row],[Unit_Cost]])</f>
        <v>11.069999999999709</v>
      </c>
      <c r="O394" s="7"/>
      <c r="P394" s="7"/>
      <c r="Q394" s="7"/>
      <c r="S394"/>
    </row>
    <row r="395" spans="1:19" x14ac:dyDescent="0.3">
      <c r="A395" s="1">
        <v>1067</v>
      </c>
      <c r="B395" s="2">
        <v>44935</v>
      </c>
      <c r="C395" s="1" t="s">
        <v>29</v>
      </c>
      <c r="D395" s="1" t="s">
        <v>45</v>
      </c>
      <c r="E395" s="1">
        <v>1875.71</v>
      </c>
      <c r="F395" s="1">
        <v>48</v>
      </c>
      <c r="G395" s="1" t="s">
        <v>31</v>
      </c>
      <c r="H395" s="1">
        <v>210.63</v>
      </c>
      <c r="I395" s="1">
        <v>533.57999999999902</v>
      </c>
      <c r="J395" s="1" t="s">
        <v>27</v>
      </c>
      <c r="K395" s="1">
        <v>0.04</v>
      </c>
      <c r="L395" s="1" t="s">
        <v>25</v>
      </c>
      <c r="M395" s="1" t="s">
        <v>19</v>
      </c>
      <c r="N395" s="1">
        <f>SUM(Table3[[#This Row],[Unit_Price]]-Table3[[#This Row],[Unit_Cost]])</f>
        <v>322.94999999999902</v>
      </c>
      <c r="O395" s="7"/>
      <c r="P395" s="7"/>
      <c r="Q395" s="7"/>
      <c r="S395"/>
    </row>
    <row r="396" spans="1:19" x14ac:dyDescent="0.3">
      <c r="A396" s="1">
        <v>1046</v>
      </c>
      <c r="B396" s="2">
        <v>44966</v>
      </c>
      <c r="C396" s="1" t="s">
        <v>29</v>
      </c>
      <c r="D396" s="1" t="s">
        <v>46</v>
      </c>
      <c r="E396" s="1">
        <v>9709.7000000000007</v>
      </c>
      <c r="F396" s="1">
        <v>3</v>
      </c>
      <c r="G396" s="1" t="s">
        <v>16</v>
      </c>
      <c r="H396" s="1">
        <v>1216.1600000000001</v>
      </c>
      <c r="I396" s="1">
        <v>1295.3699999999999</v>
      </c>
      <c r="J396" s="1" t="s">
        <v>27</v>
      </c>
      <c r="K396" s="1">
        <v>0.14000000000000001</v>
      </c>
      <c r="L396" s="1" t="s">
        <v>18</v>
      </c>
      <c r="M396" s="1" t="s">
        <v>21</v>
      </c>
      <c r="N396" s="1">
        <f>SUM(Table3[[#This Row],[Unit_Price]]-Table3[[#This Row],[Unit_Cost]])</f>
        <v>79.209999999999809</v>
      </c>
      <c r="O396" s="7"/>
      <c r="P396" s="7"/>
      <c r="Q396" s="7"/>
      <c r="S396"/>
    </row>
    <row r="397" spans="1:19" x14ac:dyDescent="0.3">
      <c r="A397" s="1">
        <v>1024</v>
      </c>
      <c r="B397" s="2">
        <v>45163</v>
      </c>
      <c r="C397" s="1" t="s">
        <v>22</v>
      </c>
      <c r="D397" s="1" t="s">
        <v>47</v>
      </c>
      <c r="E397" s="1">
        <v>1221.7</v>
      </c>
      <c r="F397" s="1">
        <v>42</v>
      </c>
      <c r="G397" s="1" t="s">
        <v>31</v>
      </c>
      <c r="H397" s="1">
        <v>1586.02</v>
      </c>
      <c r="I397" s="1">
        <v>2047.13</v>
      </c>
      <c r="J397" s="1" t="s">
        <v>27</v>
      </c>
      <c r="K397" s="1">
        <v>0.25</v>
      </c>
      <c r="L397" s="1" t="s">
        <v>18</v>
      </c>
      <c r="M397" s="1" t="s">
        <v>21</v>
      </c>
      <c r="N397" s="1">
        <f>SUM(Table3[[#This Row],[Unit_Price]]-Table3[[#This Row],[Unit_Cost]])</f>
        <v>461.11000000000013</v>
      </c>
      <c r="O397" s="7"/>
      <c r="P397" s="7"/>
      <c r="Q397" s="7"/>
      <c r="S397"/>
    </row>
    <row r="398" spans="1:19" x14ac:dyDescent="0.3">
      <c r="A398" s="1">
        <v>1032</v>
      </c>
      <c r="B398" s="2">
        <v>45207</v>
      </c>
      <c r="C398" s="1" t="s">
        <v>32</v>
      </c>
      <c r="D398" s="1" t="s">
        <v>48</v>
      </c>
      <c r="E398" s="1">
        <v>4095.65</v>
      </c>
      <c r="F398" s="1">
        <v>11</v>
      </c>
      <c r="G398" s="1" t="s">
        <v>24</v>
      </c>
      <c r="H398" s="1">
        <v>2025.67</v>
      </c>
      <c r="I398" s="1">
        <v>2081.5500000000002</v>
      </c>
      <c r="J398" s="1" t="s">
        <v>27</v>
      </c>
      <c r="K398" s="1">
        <v>0.27</v>
      </c>
      <c r="L398" s="1" t="s">
        <v>25</v>
      </c>
      <c r="M398" s="1" t="s">
        <v>19</v>
      </c>
      <c r="N398" s="1">
        <f>SUM(Table3[[#This Row],[Unit_Price]]-Table3[[#This Row],[Unit_Cost]])</f>
        <v>55.880000000000109</v>
      </c>
      <c r="O398" s="7"/>
      <c r="P398" s="7"/>
      <c r="Q398" s="7"/>
      <c r="S398"/>
    </row>
    <row r="399" spans="1:19" x14ac:dyDescent="0.3">
      <c r="A399" s="1">
        <v>1047</v>
      </c>
      <c r="B399" s="2">
        <v>45285</v>
      </c>
      <c r="C399" s="1" t="s">
        <v>22</v>
      </c>
      <c r="D399" s="1" t="s">
        <v>49</v>
      </c>
      <c r="E399" s="1">
        <v>7405.06</v>
      </c>
      <c r="F399" s="1">
        <v>43</v>
      </c>
      <c r="G399" s="1" t="s">
        <v>31</v>
      </c>
      <c r="H399" s="1">
        <v>1249.17</v>
      </c>
      <c r="I399" s="1">
        <v>1727.15</v>
      </c>
      <c r="J399" s="1" t="s">
        <v>27</v>
      </c>
      <c r="K399" s="1">
        <v>0.08</v>
      </c>
      <c r="L399" s="1" t="s">
        <v>18</v>
      </c>
      <c r="M399" s="1" t="s">
        <v>21</v>
      </c>
      <c r="N399" s="1">
        <f>SUM(Table3[[#This Row],[Unit_Price]]-Table3[[#This Row],[Unit_Cost]])</f>
        <v>477.98</v>
      </c>
      <c r="O399" s="7"/>
      <c r="P399" s="7"/>
      <c r="Q399" s="7"/>
      <c r="S399"/>
    </row>
    <row r="400" spans="1:19" x14ac:dyDescent="0.3">
      <c r="A400" s="1">
        <v>1086</v>
      </c>
      <c r="B400" s="2">
        <v>45127</v>
      </c>
      <c r="C400" s="1" t="s">
        <v>14</v>
      </c>
      <c r="D400" s="1" t="s">
        <v>50</v>
      </c>
      <c r="E400" s="1">
        <v>7075.09</v>
      </c>
      <c r="F400" s="1">
        <v>17</v>
      </c>
      <c r="G400" s="1" t="s">
        <v>24</v>
      </c>
      <c r="H400" s="1">
        <v>1057.27</v>
      </c>
      <c r="I400" s="1">
        <v>1366.62</v>
      </c>
      <c r="J400" s="1" t="s">
        <v>27</v>
      </c>
      <c r="K400" s="1">
        <v>0.21</v>
      </c>
      <c r="L400" s="1" t="s">
        <v>28</v>
      </c>
      <c r="M400" s="1" t="s">
        <v>21</v>
      </c>
      <c r="N400" s="1">
        <f>SUM(Table3[[#This Row],[Unit_Price]]-Table3[[#This Row],[Unit_Cost]])</f>
        <v>309.34999999999991</v>
      </c>
      <c r="O400" s="7"/>
      <c r="P400" s="7"/>
      <c r="Q400" s="7"/>
      <c r="S400"/>
    </row>
    <row r="401" spans="1:19" x14ac:dyDescent="0.3">
      <c r="A401" s="1">
        <v>1023</v>
      </c>
      <c r="B401" s="2">
        <v>45172</v>
      </c>
      <c r="C401" s="1" t="s">
        <v>22</v>
      </c>
      <c r="D401" s="1" t="s">
        <v>44</v>
      </c>
      <c r="E401" s="1">
        <v>4285.01</v>
      </c>
      <c r="F401" s="1">
        <v>32</v>
      </c>
      <c r="G401" s="1" t="s">
        <v>31</v>
      </c>
      <c r="H401" s="1">
        <v>4775.04</v>
      </c>
      <c r="I401" s="1">
        <v>4785.66</v>
      </c>
      <c r="J401" s="1" t="s">
        <v>27</v>
      </c>
      <c r="K401" s="1">
        <v>0.03</v>
      </c>
      <c r="L401" s="1" t="s">
        <v>18</v>
      </c>
      <c r="M401" s="1" t="s">
        <v>19</v>
      </c>
      <c r="N401" s="1">
        <f>SUM(Table3[[#This Row],[Unit_Price]]-Table3[[#This Row],[Unit_Cost]])</f>
        <v>10.619999999999891</v>
      </c>
      <c r="O401" s="7"/>
      <c r="P401" s="7"/>
      <c r="Q401" s="7"/>
      <c r="S401"/>
    </row>
    <row r="402" spans="1:19" x14ac:dyDescent="0.3">
      <c r="A402" s="1">
        <v>1066</v>
      </c>
      <c r="B402" s="2">
        <v>45204</v>
      </c>
      <c r="C402" s="1" t="s">
        <v>33</v>
      </c>
      <c r="D402" s="1" t="s">
        <v>45</v>
      </c>
      <c r="E402" s="1">
        <v>3530.59</v>
      </c>
      <c r="F402" s="1">
        <v>4</v>
      </c>
      <c r="G402" s="1" t="s">
        <v>16</v>
      </c>
      <c r="H402" s="1">
        <v>4596.68</v>
      </c>
      <c r="I402" s="1">
        <v>5044.74</v>
      </c>
      <c r="J402" s="1" t="s">
        <v>27</v>
      </c>
      <c r="K402" s="1">
        <v>0.01</v>
      </c>
      <c r="L402" s="1" t="s">
        <v>25</v>
      </c>
      <c r="M402" s="1" t="s">
        <v>19</v>
      </c>
      <c r="N402" s="1">
        <f>SUM(Table3[[#This Row],[Unit_Price]]-Table3[[#This Row],[Unit_Cost]])</f>
        <v>448.05999999999949</v>
      </c>
      <c r="O402" s="7"/>
      <c r="P402" s="7"/>
      <c r="Q402" s="7"/>
      <c r="S402"/>
    </row>
    <row r="403" spans="1:19" x14ac:dyDescent="0.3">
      <c r="A403" s="1">
        <v>1027</v>
      </c>
      <c r="B403" s="2">
        <v>45161</v>
      </c>
      <c r="C403" s="1" t="s">
        <v>14</v>
      </c>
      <c r="D403" s="1" t="s">
        <v>46</v>
      </c>
      <c r="E403" s="1">
        <v>4036.36</v>
      </c>
      <c r="F403" s="1">
        <v>4</v>
      </c>
      <c r="G403" s="1" t="s">
        <v>31</v>
      </c>
      <c r="H403" s="1">
        <v>282.61</v>
      </c>
      <c r="I403" s="1">
        <v>548.25</v>
      </c>
      <c r="J403" s="1" t="s">
        <v>27</v>
      </c>
      <c r="K403" s="1">
        <v>0.17</v>
      </c>
      <c r="L403" s="1" t="s">
        <v>28</v>
      </c>
      <c r="M403" s="1" t="s">
        <v>19</v>
      </c>
      <c r="N403" s="1">
        <f>SUM(Table3[[#This Row],[Unit_Price]]-Table3[[#This Row],[Unit_Cost]])</f>
        <v>265.64</v>
      </c>
      <c r="O403" s="7"/>
      <c r="P403" s="7"/>
      <c r="Q403" s="7"/>
      <c r="S403"/>
    </row>
    <row r="404" spans="1:19" x14ac:dyDescent="0.3">
      <c r="A404" s="1">
        <v>1002</v>
      </c>
      <c r="B404" s="2">
        <v>44930</v>
      </c>
      <c r="C404" s="1" t="s">
        <v>14</v>
      </c>
      <c r="D404" s="1" t="s">
        <v>47</v>
      </c>
      <c r="E404" s="1">
        <v>2716.34</v>
      </c>
      <c r="F404" s="1">
        <v>17</v>
      </c>
      <c r="G404" s="1" t="s">
        <v>16</v>
      </c>
      <c r="H404" s="1">
        <v>1727.12</v>
      </c>
      <c r="I404" s="1">
        <v>1865.83</v>
      </c>
      <c r="J404" s="1" t="s">
        <v>27</v>
      </c>
      <c r="K404" s="1">
        <v>0.21</v>
      </c>
      <c r="L404" s="1" t="s">
        <v>18</v>
      </c>
      <c r="M404" s="1" t="s">
        <v>19</v>
      </c>
      <c r="N404" s="1">
        <f>SUM(Table3[[#This Row],[Unit_Price]]-Table3[[#This Row],[Unit_Cost]])</f>
        <v>138.71000000000004</v>
      </c>
      <c r="O404" s="7"/>
      <c r="P404" s="7"/>
      <c r="Q404" s="7"/>
      <c r="S404"/>
    </row>
    <row r="405" spans="1:19" x14ac:dyDescent="0.3">
      <c r="A405" s="1">
        <v>1090</v>
      </c>
      <c r="B405" s="2">
        <v>45080</v>
      </c>
      <c r="C405" s="1" t="s">
        <v>32</v>
      </c>
      <c r="D405" s="1" t="s">
        <v>48</v>
      </c>
      <c r="E405" s="1">
        <v>2132.8000000000002</v>
      </c>
      <c r="F405" s="1">
        <v>41</v>
      </c>
      <c r="G405" s="1" t="s">
        <v>16</v>
      </c>
      <c r="H405" s="1">
        <v>2055.4899999999998</v>
      </c>
      <c r="I405" s="1">
        <v>2441.46</v>
      </c>
      <c r="J405" s="1" t="s">
        <v>27</v>
      </c>
      <c r="K405" s="1">
        <v>0.24</v>
      </c>
      <c r="L405" s="1" t="s">
        <v>28</v>
      </c>
      <c r="M405" s="1" t="s">
        <v>19</v>
      </c>
      <c r="N405" s="1">
        <f>SUM(Table3[[#This Row],[Unit_Price]]-Table3[[#This Row],[Unit_Cost]])</f>
        <v>385.97000000000025</v>
      </c>
      <c r="O405" s="7"/>
      <c r="P405" s="7"/>
      <c r="Q405" s="7"/>
      <c r="S405"/>
    </row>
    <row r="406" spans="1:19" x14ac:dyDescent="0.3">
      <c r="A406" s="1">
        <v>1017</v>
      </c>
      <c r="B406" s="2">
        <v>44955</v>
      </c>
      <c r="C406" s="1" t="s">
        <v>29</v>
      </c>
      <c r="D406" s="1" t="s">
        <v>49</v>
      </c>
      <c r="E406" s="1">
        <v>4882.09</v>
      </c>
      <c r="F406" s="1">
        <v>19</v>
      </c>
      <c r="G406" s="1" t="s">
        <v>31</v>
      </c>
      <c r="H406" s="1">
        <v>1233.1199999999999</v>
      </c>
      <c r="I406" s="1">
        <v>1697.1899999999901</v>
      </c>
      <c r="J406" s="1" t="s">
        <v>27</v>
      </c>
      <c r="K406" s="1">
        <v>0.1</v>
      </c>
      <c r="L406" s="1" t="s">
        <v>28</v>
      </c>
      <c r="M406" s="1" t="s">
        <v>19</v>
      </c>
      <c r="N406" s="1">
        <f>SUM(Table3[[#This Row],[Unit_Price]]-Table3[[#This Row],[Unit_Cost]])</f>
        <v>464.06999999999016</v>
      </c>
      <c r="O406" s="7"/>
      <c r="P406" s="7"/>
      <c r="Q406" s="7"/>
      <c r="S406"/>
    </row>
    <row r="407" spans="1:19" x14ac:dyDescent="0.3">
      <c r="A407" s="1">
        <v>1033</v>
      </c>
      <c r="B407" s="2">
        <v>45035</v>
      </c>
      <c r="C407" s="1" t="s">
        <v>14</v>
      </c>
      <c r="D407" s="1" t="s">
        <v>50</v>
      </c>
      <c r="E407" s="1">
        <v>2758.48</v>
      </c>
      <c r="F407" s="1">
        <v>5</v>
      </c>
      <c r="G407" s="1" t="s">
        <v>16</v>
      </c>
      <c r="H407" s="1">
        <v>3162.92</v>
      </c>
      <c r="I407" s="1">
        <v>3409.93</v>
      </c>
      <c r="J407" s="1" t="s">
        <v>27</v>
      </c>
      <c r="K407" s="1">
        <v>0</v>
      </c>
      <c r="L407" s="1" t="s">
        <v>18</v>
      </c>
      <c r="M407" s="1" t="s">
        <v>19</v>
      </c>
      <c r="N407" s="1">
        <f>SUM(Table3[[#This Row],[Unit_Price]]-Table3[[#This Row],[Unit_Cost]])</f>
        <v>247.00999999999976</v>
      </c>
      <c r="O407" s="7"/>
      <c r="P407" s="7"/>
      <c r="Q407" s="7"/>
      <c r="S407"/>
    </row>
    <row r="408" spans="1:19" x14ac:dyDescent="0.3">
      <c r="A408" s="1">
        <v>1009</v>
      </c>
      <c r="B408" s="2">
        <v>45024</v>
      </c>
      <c r="C408" s="1" t="s">
        <v>29</v>
      </c>
      <c r="D408" s="1" t="s">
        <v>44</v>
      </c>
      <c r="E408" s="1">
        <v>2945.87</v>
      </c>
      <c r="F408" s="1">
        <v>32</v>
      </c>
      <c r="G408" s="1" t="s">
        <v>26</v>
      </c>
      <c r="H408" s="1">
        <v>3219.88</v>
      </c>
      <c r="I408" s="1">
        <v>3384.5</v>
      </c>
      <c r="J408" s="1" t="s">
        <v>17</v>
      </c>
      <c r="K408" s="1">
        <v>0.14000000000000001</v>
      </c>
      <c r="L408" s="1" t="s">
        <v>18</v>
      </c>
      <c r="M408" s="1" t="s">
        <v>21</v>
      </c>
      <c r="N408" s="1">
        <f>SUM(Table3[[#This Row],[Unit_Price]]-Table3[[#This Row],[Unit_Cost]])</f>
        <v>164.61999999999989</v>
      </c>
      <c r="O408" s="7"/>
      <c r="P408" s="7"/>
      <c r="Q408" s="7"/>
      <c r="S408"/>
    </row>
    <row r="409" spans="1:19" x14ac:dyDescent="0.3">
      <c r="A409" s="1">
        <v>1043</v>
      </c>
      <c r="B409" s="2">
        <v>45141</v>
      </c>
      <c r="C409" s="1" t="s">
        <v>22</v>
      </c>
      <c r="D409" s="1" t="s">
        <v>45</v>
      </c>
      <c r="E409" s="1">
        <v>6601.89</v>
      </c>
      <c r="F409" s="1">
        <v>22</v>
      </c>
      <c r="G409" s="1" t="s">
        <v>31</v>
      </c>
      <c r="H409" s="1">
        <v>4260</v>
      </c>
      <c r="I409" s="1">
        <v>4656.58</v>
      </c>
      <c r="J409" s="1" t="s">
        <v>27</v>
      </c>
      <c r="K409" s="1">
        <v>0</v>
      </c>
      <c r="L409" s="1" t="s">
        <v>25</v>
      </c>
      <c r="M409" s="1" t="s">
        <v>19</v>
      </c>
      <c r="N409" s="1">
        <f>SUM(Table3[[#This Row],[Unit_Price]]-Table3[[#This Row],[Unit_Cost]])</f>
        <v>396.57999999999993</v>
      </c>
      <c r="O409" s="7"/>
      <c r="P409" s="7"/>
      <c r="Q409" s="7"/>
      <c r="S409"/>
    </row>
    <row r="410" spans="1:19" x14ac:dyDescent="0.3">
      <c r="A410" s="1">
        <v>1048</v>
      </c>
      <c r="B410" s="2">
        <v>45219</v>
      </c>
      <c r="C410" s="1" t="s">
        <v>33</v>
      </c>
      <c r="D410" s="1" t="s">
        <v>46</v>
      </c>
      <c r="E410" s="1">
        <v>9688.52</v>
      </c>
      <c r="F410" s="1">
        <v>6</v>
      </c>
      <c r="G410" s="1" t="s">
        <v>31</v>
      </c>
      <c r="H410" s="1">
        <v>3717.3</v>
      </c>
      <c r="I410" s="1">
        <v>4061.37</v>
      </c>
      <c r="J410" s="1" t="s">
        <v>27</v>
      </c>
      <c r="K410" s="1">
        <v>0.03</v>
      </c>
      <c r="L410" s="1" t="s">
        <v>25</v>
      </c>
      <c r="M410" s="1" t="s">
        <v>21</v>
      </c>
      <c r="N410" s="1">
        <f>SUM(Table3[[#This Row],[Unit_Price]]-Table3[[#This Row],[Unit_Cost]])</f>
        <v>344.06999999999971</v>
      </c>
      <c r="O410" s="7"/>
      <c r="P410" s="7"/>
      <c r="Q410" s="7"/>
      <c r="S410"/>
    </row>
    <row r="411" spans="1:19" x14ac:dyDescent="0.3">
      <c r="A411" s="1">
        <v>1039</v>
      </c>
      <c r="B411" s="2">
        <v>45001</v>
      </c>
      <c r="C411" s="1" t="s">
        <v>32</v>
      </c>
      <c r="D411" s="1" t="s">
        <v>47</v>
      </c>
      <c r="E411" s="1">
        <v>6076.01</v>
      </c>
      <c r="F411" s="1">
        <v>35</v>
      </c>
      <c r="G411" s="1" t="s">
        <v>16</v>
      </c>
      <c r="H411" s="1">
        <v>2735.74</v>
      </c>
      <c r="I411" s="1">
        <v>3181.22999999999</v>
      </c>
      <c r="J411" s="1" t="s">
        <v>27</v>
      </c>
      <c r="K411" s="1">
        <v>0.1</v>
      </c>
      <c r="L411" s="1" t="s">
        <v>28</v>
      </c>
      <c r="M411" s="1" t="s">
        <v>21</v>
      </c>
      <c r="N411" s="1">
        <f>SUM(Table3[[#This Row],[Unit_Price]]-Table3[[#This Row],[Unit_Cost]])</f>
        <v>445.48999999999023</v>
      </c>
      <c r="O411" s="7"/>
      <c r="P411" s="7"/>
      <c r="Q411" s="7"/>
      <c r="S411"/>
    </row>
    <row r="412" spans="1:19" x14ac:dyDescent="0.3">
      <c r="A412" s="1">
        <v>1093</v>
      </c>
      <c r="B412" s="2">
        <v>45252</v>
      </c>
      <c r="C412" s="1" t="s">
        <v>29</v>
      </c>
      <c r="D412" s="1" t="s">
        <v>48</v>
      </c>
      <c r="E412" s="1">
        <v>862.1</v>
      </c>
      <c r="F412" s="1">
        <v>22</v>
      </c>
      <c r="G412" s="1" t="s">
        <v>16</v>
      </c>
      <c r="H412" s="1">
        <v>3285.25</v>
      </c>
      <c r="I412" s="1">
        <v>3634.58</v>
      </c>
      <c r="J412" s="1" t="s">
        <v>27</v>
      </c>
      <c r="K412" s="1">
        <v>0.13</v>
      </c>
      <c r="L412" s="1" t="s">
        <v>25</v>
      </c>
      <c r="M412" s="1" t="s">
        <v>19</v>
      </c>
      <c r="N412" s="1">
        <f>SUM(Table3[[#This Row],[Unit_Price]]-Table3[[#This Row],[Unit_Cost]])</f>
        <v>349.32999999999993</v>
      </c>
      <c r="O412" s="7"/>
      <c r="P412" s="7"/>
      <c r="Q412" s="7"/>
      <c r="S412"/>
    </row>
    <row r="413" spans="1:19" x14ac:dyDescent="0.3">
      <c r="A413" s="1">
        <v>1042</v>
      </c>
      <c r="B413" s="2">
        <v>45072</v>
      </c>
      <c r="C413" s="1" t="s">
        <v>14</v>
      </c>
      <c r="D413" s="1" t="s">
        <v>49</v>
      </c>
      <c r="E413" s="1">
        <v>848.28</v>
      </c>
      <c r="F413" s="1">
        <v>1</v>
      </c>
      <c r="G413" s="1" t="s">
        <v>31</v>
      </c>
      <c r="H413" s="1">
        <v>1406.24</v>
      </c>
      <c r="I413" s="1">
        <v>1535.57</v>
      </c>
      <c r="J413" s="1" t="s">
        <v>27</v>
      </c>
      <c r="K413" s="1">
        <v>0.08</v>
      </c>
      <c r="L413" s="1" t="s">
        <v>28</v>
      </c>
      <c r="M413" s="1" t="s">
        <v>21</v>
      </c>
      <c r="N413" s="1">
        <f>SUM(Table3[[#This Row],[Unit_Price]]-Table3[[#This Row],[Unit_Cost]])</f>
        <v>129.32999999999993</v>
      </c>
      <c r="O413" s="7"/>
      <c r="P413" s="7"/>
      <c r="Q413" s="7"/>
      <c r="S413"/>
    </row>
    <row r="414" spans="1:19" x14ac:dyDescent="0.3">
      <c r="A414" s="1">
        <v>1026</v>
      </c>
      <c r="B414" s="2">
        <v>45054</v>
      </c>
      <c r="C414" s="1" t="s">
        <v>29</v>
      </c>
      <c r="D414" s="1" t="s">
        <v>50</v>
      </c>
      <c r="E414" s="1">
        <v>9519.09</v>
      </c>
      <c r="F414" s="1">
        <v>20</v>
      </c>
      <c r="G414" s="1" t="s">
        <v>26</v>
      </c>
      <c r="H414" s="1">
        <v>2985.63</v>
      </c>
      <c r="I414" s="1">
        <v>3452.14</v>
      </c>
      <c r="J414" s="1" t="s">
        <v>27</v>
      </c>
      <c r="K414" s="1">
        <v>0.17</v>
      </c>
      <c r="L414" s="1" t="s">
        <v>28</v>
      </c>
      <c r="M414" s="1" t="s">
        <v>21</v>
      </c>
      <c r="N414" s="1">
        <f>SUM(Table3[[#This Row],[Unit_Price]]-Table3[[#This Row],[Unit_Cost]])</f>
        <v>466.50999999999976</v>
      </c>
      <c r="O414" s="7"/>
      <c r="P414" s="7"/>
      <c r="Q414" s="7"/>
      <c r="S414"/>
    </row>
    <row r="415" spans="1:19" x14ac:dyDescent="0.3">
      <c r="A415" s="1">
        <v>1099</v>
      </c>
      <c r="B415" s="2">
        <v>45267</v>
      </c>
      <c r="C415" s="1" t="s">
        <v>14</v>
      </c>
      <c r="D415" s="1" t="s">
        <v>44</v>
      </c>
      <c r="E415" s="1">
        <v>3043.18</v>
      </c>
      <c r="F415" s="1">
        <v>22</v>
      </c>
      <c r="G415" s="1" t="s">
        <v>16</v>
      </c>
      <c r="H415" s="1">
        <v>2471.67</v>
      </c>
      <c r="I415" s="1">
        <v>2533.04</v>
      </c>
      <c r="J415" s="1" t="s">
        <v>17</v>
      </c>
      <c r="K415" s="1">
        <v>0.02</v>
      </c>
      <c r="L415" s="1" t="s">
        <v>25</v>
      </c>
      <c r="M415" s="1" t="s">
        <v>21</v>
      </c>
      <c r="N415" s="1">
        <f>SUM(Table3[[#This Row],[Unit_Price]]-Table3[[#This Row],[Unit_Cost]])</f>
        <v>61.369999999999891</v>
      </c>
      <c r="O415" s="7"/>
      <c r="P415" s="7"/>
      <c r="Q415" s="7"/>
      <c r="S415"/>
    </row>
    <row r="416" spans="1:19" x14ac:dyDescent="0.3">
      <c r="A416" s="1">
        <v>1050</v>
      </c>
      <c r="B416" s="2">
        <v>44968</v>
      </c>
      <c r="C416" s="1" t="s">
        <v>29</v>
      </c>
      <c r="D416" s="1" t="s">
        <v>45</v>
      </c>
      <c r="E416" s="1">
        <v>1011.46</v>
      </c>
      <c r="F416" s="1">
        <v>48</v>
      </c>
      <c r="G416" s="1" t="s">
        <v>16</v>
      </c>
      <c r="H416" s="1">
        <v>710.06</v>
      </c>
      <c r="I416" s="1">
        <v>851.349999999999</v>
      </c>
      <c r="J416" s="1" t="s">
        <v>17</v>
      </c>
      <c r="K416" s="1">
        <v>0.04</v>
      </c>
      <c r="L416" s="1" t="s">
        <v>25</v>
      </c>
      <c r="M416" s="1" t="s">
        <v>19</v>
      </c>
      <c r="N416" s="1">
        <f>SUM(Table3[[#This Row],[Unit_Price]]-Table3[[#This Row],[Unit_Cost]])</f>
        <v>141.28999999999905</v>
      </c>
      <c r="O416" s="7"/>
      <c r="P416" s="7"/>
      <c r="Q416" s="7"/>
      <c r="S416"/>
    </row>
    <row r="417" spans="1:19" x14ac:dyDescent="0.3">
      <c r="A417" s="1">
        <v>1025</v>
      </c>
      <c r="B417" s="2">
        <v>45282</v>
      </c>
      <c r="C417" s="1" t="s">
        <v>14</v>
      </c>
      <c r="D417" s="1" t="s">
        <v>46</v>
      </c>
      <c r="E417" s="1">
        <v>6030.54</v>
      </c>
      <c r="F417" s="1">
        <v>11</v>
      </c>
      <c r="G417" s="1" t="s">
        <v>24</v>
      </c>
      <c r="H417" s="1">
        <v>1250.5899999999999</v>
      </c>
      <c r="I417" s="1">
        <v>1515.48999999999</v>
      </c>
      <c r="J417" s="1" t="s">
        <v>17</v>
      </c>
      <c r="K417" s="1">
        <v>0.21</v>
      </c>
      <c r="L417" s="1" t="s">
        <v>25</v>
      </c>
      <c r="M417" s="1" t="s">
        <v>21</v>
      </c>
      <c r="N417" s="1">
        <f>SUM(Table3[[#This Row],[Unit_Price]]-Table3[[#This Row],[Unit_Cost]])</f>
        <v>264.89999999999009</v>
      </c>
      <c r="O417" s="7"/>
      <c r="P417" s="7"/>
      <c r="Q417" s="7"/>
      <c r="S417"/>
    </row>
    <row r="418" spans="1:19" x14ac:dyDescent="0.3">
      <c r="A418" s="1">
        <v>1024</v>
      </c>
      <c r="B418" s="2">
        <v>44967</v>
      </c>
      <c r="C418" s="1" t="s">
        <v>22</v>
      </c>
      <c r="D418" s="1" t="s">
        <v>47</v>
      </c>
      <c r="E418" s="1">
        <v>6274.12</v>
      </c>
      <c r="F418" s="1">
        <v>13</v>
      </c>
      <c r="G418" s="1" t="s">
        <v>26</v>
      </c>
      <c r="H418" s="1">
        <v>1493.88</v>
      </c>
      <c r="I418" s="1">
        <v>1781.09</v>
      </c>
      <c r="J418" s="1" t="s">
        <v>27</v>
      </c>
      <c r="K418" s="1">
        <v>0.04</v>
      </c>
      <c r="L418" s="1" t="s">
        <v>18</v>
      </c>
      <c r="M418" s="1" t="s">
        <v>21</v>
      </c>
      <c r="N418" s="1">
        <f>SUM(Table3[[#This Row],[Unit_Price]]-Table3[[#This Row],[Unit_Cost]])</f>
        <v>287.20999999999981</v>
      </c>
      <c r="O418" s="7"/>
      <c r="P418" s="7"/>
      <c r="Q418" s="7"/>
      <c r="S418"/>
    </row>
    <row r="419" spans="1:19" x14ac:dyDescent="0.3">
      <c r="A419" s="1">
        <v>1013</v>
      </c>
      <c r="B419" s="2">
        <v>44960</v>
      </c>
      <c r="C419" s="1" t="s">
        <v>14</v>
      </c>
      <c r="D419" s="1" t="s">
        <v>48</v>
      </c>
      <c r="E419" s="1">
        <v>6520.2</v>
      </c>
      <c r="F419" s="1">
        <v>42</v>
      </c>
      <c r="G419" s="1" t="s">
        <v>26</v>
      </c>
      <c r="H419" s="1">
        <v>4625.33</v>
      </c>
      <c r="I419" s="1">
        <v>4642.83</v>
      </c>
      <c r="J419" s="1" t="s">
        <v>27</v>
      </c>
      <c r="K419" s="1">
        <v>0.19</v>
      </c>
      <c r="L419" s="1" t="s">
        <v>28</v>
      </c>
      <c r="M419" s="1" t="s">
        <v>19</v>
      </c>
      <c r="N419" s="1">
        <f>SUM(Table3[[#This Row],[Unit_Price]]-Table3[[#This Row],[Unit_Cost]])</f>
        <v>17.5</v>
      </c>
      <c r="O419" s="7"/>
      <c r="P419" s="7"/>
      <c r="Q419" s="7"/>
      <c r="S419"/>
    </row>
    <row r="420" spans="1:19" x14ac:dyDescent="0.3">
      <c r="A420" s="1">
        <v>1060</v>
      </c>
      <c r="B420" s="2">
        <v>44943</v>
      </c>
      <c r="C420" s="1" t="s">
        <v>14</v>
      </c>
      <c r="D420" s="1" t="s">
        <v>49</v>
      </c>
      <c r="E420" s="1">
        <v>2747.28</v>
      </c>
      <c r="F420" s="1">
        <v>3</v>
      </c>
      <c r="G420" s="1" t="s">
        <v>31</v>
      </c>
      <c r="H420" s="1">
        <v>1190.4100000000001</v>
      </c>
      <c r="I420" s="1">
        <v>1582.89</v>
      </c>
      <c r="J420" s="1" t="s">
        <v>27</v>
      </c>
      <c r="K420" s="1">
        <v>0.02</v>
      </c>
      <c r="L420" s="1" t="s">
        <v>28</v>
      </c>
      <c r="M420" s="1" t="s">
        <v>21</v>
      </c>
      <c r="N420" s="1">
        <f>SUM(Table3[[#This Row],[Unit_Price]]-Table3[[#This Row],[Unit_Cost]])</f>
        <v>392.48</v>
      </c>
      <c r="O420" s="7"/>
      <c r="P420" s="7"/>
      <c r="Q420" s="7"/>
      <c r="S420"/>
    </row>
    <row r="421" spans="1:19" x14ac:dyDescent="0.3">
      <c r="A421" s="1">
        <v>1007</v>
      </c>
      <c r="B421" s="2">
        <v>45091</v>
      </c>
      <c r="C421" s="1" t="s">
        <v>33</v>
      </c>
      <c r="D421" s="1" t="s">
        <v>50</v>
      </c>
      <c r="E421" s="1">
        <v>249.6</v>
      </c>
      <c r="F421" s="1">
        <v>9</v>
      </c>
      <c r="G421" s="1" t="s">
        <v>26</v>
      </c>
      <c r="H421" s="1">
        <v>1481.76</v>
      </c>
      <c r="I421" s="1">
        <v>1668.95</v>
      </c>
      <c r="J421" s="1" t="s">
        <v>17</v>
      </c>
      <c r="K421" s="1">
        <v>0.12</v>
      </c>
      <c r="L421" s="1" t="s">
        <v>28</v>
      </c>
      <c r="M421" s="1" t="s">
        <v>21</v>
      </c>
      <c r="N421" s="1">
        <f>SUM(Table3[[#This Row],[Unit_Price]]-Table3[[#This Row],[Unit_Cost]])</f>
        <v>187.19000000000005</v>
      </c>
      <c r="O421" s="7"/>
      <c r="P421" s="7"/>
      <c r="Q421" s="7"/>
      <c r="S421"/>
    </row>
    <row r="422" spans="1:19" x14ac:dyDescent="0.3">
      <c r="A422" s="1">
        <v>1057</v>
      </c>
      <c r="B422" s="2">
        <v>45079</v>
      </c>
      <c r="C422" s="1" t="s">
        <v>14</v>
      </c>
      <c r="D422" s="1" t="s">
        <v>44</v>
      </c>
      <c r="E422" s="1">
        <v>9653.65</v>
      </c>
      <c r="F422" s="1">
        <v>12</v>
      </c>
      <c r="G422" s="1" t="s">
        <v>31</v>
      </c>
      <c r="H422" s="1">
        <v>1878.3</v>
      </c>
      <c r="I422" s="1">
        <v>2087.4499999999998</v>
      </c>
      <c r="J422" s="1" t="s">
        <v>27</v>
      </c>
      <c r="K422" s="1">
        <v>0.05</v>
      </c>
      <c r="L422" s="1" t="s">
        <v>25</v>
      </c>
      <c r="M422" s="1" t="s">
        <v>21</v>
      </c>
      <c r="N422" s="1">
        <f>SUM(Table3[[#This Row],[Unit_Price]]-Table3[[#This Row],[Unit_Cost]])</f>
        <v>209.14999999999986</v>
      </c>
      <c r="O422" s="7"/>
      <c r="P422" s="7"/>
      <c r="Q422" s="7"/>
      <c r="S422"/>
    </row>
    <row r="423" spans="1:19" x14ac:dyDescent="0.3">
      <c r="A423" s="1">
        <v>1036</v>
      </c>
      <c r="B423" s="2">
        <v>45002</v>
      </c>
      <c r="C423" s="1" t="s">
        <v>33</v>
      </c>
      <c r="D423" s="1" t="s">
        <v>45</v>
      </c>
      <c r="E423" s="1">
        <v>2583.84</v>
      </c>
      <c r="F423" s="1">
        <v>23</v>
      </c>
      <c r="G423" s="1" t="s">
        <v>24</v>
      </c>
      <c r="H423" s="1">
        <v>3335.53</v>
      </c>
      <c r="I423" s="1">
        <v>3742.12</v>
      </c>
      <c r="J423" s="1" t="s">
        <v>27</v>
      </c>
      <c r="K423" s="1">
        <v>0.03</v>
      </c>
      <c r="L423" s="1" t="s">
        <v>25</v>
      </c>
      <c r="M423" s="1" t="s">
        <v>21</v>
      </c>
      <c r="N423" s="1">
        <f>SUM(Table3[[#This Row],[Unit_Price]]-Table3[[#This Row],[Unit_Cost]])</f>
        <v>406.58999999999969</v>
      </c>
      <c r="O423" s="7"/>
      <c r="P423" s="7"/>
      <c r="Q423" s="7"/>
      <c r="S423"/>
    </row>
    <row r="424" spans="1:19" x14ac:dyDescent="0.3">
      <c r="A424" s="1">
        <v>1045</v>
      </c>
      <c r="B424" s="2">
        <v>45013</v>
      </c>
      <c r="C424" s="1" t="s">
        <v>32</v>
      </c>
      <c r="D424" s="1" t="s">
        <v>46</v>
      </c>
      <c r="E424" s="1">
        <v>6792.66</v>
      </c>
      <c r="F424" s="1">
        <v>14</v>
      </c>
      <c r="G424" s="1" t="s">
        <v>26</v>
      </c>
      <c r="H424" s="1">
        <v>635.28</v>
      </c>
      <c r="I424" s="1">
        <v>831.13</v>
      </c>
      <c r="J424" s="1" t="s">
        <v>17</v>
      </c>
      <c r="K424" s="1">
        <v>0.17</v>
      </c>
      <c r="L424" s="1" t="s">
        <v>25</v>
      </c>
      <c r="M424" s="1" t="s">
        <v>21</v>
      </c>
      <c r="N424" s="1">
        <f>SUM(Table3[[#This Row],[Unit_Price]]-Table3[[#This Row],[Unit_Cost]])</f>
        <v>195.85000000000002</v>
      </c>
      <c r="O424" s="7"/>
      <c r="P424" s="7"/>
      <c r="Q424" s="7"/>
      <c r="S424"/>
    </row>
    <row r="425" spans="1:19" x14ac:dyDescent="0.3">
      <c r="A425" s="1">
        <v>1020</v>
      </c>
      <c r="B425" s="2">
        <v>45043</v>
      </c>
      <c r="C425" s="1" t="s">
        <v>33</v>
      </c>
      <c r="D425" s="1" t="s">
        <v>47</v>
      </c>
      <c r="E425" s="1">
        <v>7095.64</v>
      </c>
      <c r="F425" s="1">
        <v>33</v>
      </c>
      <c r="G425" s="1" t="s">
        <v>16</v>
      </c>
      <c r="H425" s="1">
        <v>4772.03</v>
      </c>
      <c r="I425" s="1">
        <v>4805.17</v>
      </c>
      <c r="J425" s="1" t="s">
        <v>17</v>
      </c>
      <c r="K425" s="1">
        <v>0.28000000000000003</v>
      </c>
      <c r="L425" s="1" t="s">
        <v>25</v>
      </c>
      <c r="M425" s="1" t="s">
        <v>19</v>
      </c>
      <c r="N425" s="1">
        <f>SUM(Table3[[#This Row],[Unit_Price]]-Table3[[#This Row],[Unit_Cost]])</f>
        <v>33.140000000000327</v>
      </c>
      <c r="O425" s="7"/>
      <c r="P425" s="7"/>
      <c r="Q425" s="7"/>
      <c r="S425"/>
    </row>
    <row r="426" spans="1:19" x14ac:dyDescent="0.3">
      <c r="A426" s="1">
        <v>1065</v>
      </c>
      <c r="B426" s="2">
        <v>45288</v>
      </c>
      <c r="C426" s="1" t="s">
        <v>22</v>
      </c>
      <c r="D426" s="1" t="s">
        <v>48</v>
      </c>
      <c r="E426" s="1">
        <v>6139.07</v>
      </c>
      <c r="F426" s="1">
        <v>18</v>
      </c>
      <c r="G426" s="1" t="s">
        <v>24</v>
      </c>
      <c r="H426" s="1">
        <v>4334.58</v>
      </c>
      <c r="I426" s="1">
        <v>4431.04</v>
      </c>
      <c r="J426" s="1" t="s">
        <v>27</v>
      </c>
      <c r="K426" s="1">
        <v>0.02</v>
      </c>
      <c r="L426" s="1" t="s">
        <v>25</v>
      </c>
      <c r="M426" s="1" t="s">
        <v>21</v>
      </c>
      <c r="N426" s="1">
        <f>SUM(Table3[[#This Row],[Unit_Price]]-Table3[[#This Row],[Unit_Cost]])</f>
        <v>96.460000000000036</v>
      </c>
      <c r="O426" s="7"/>
      <c r="P426" s="7"/>
      <c r="Q426" s="7"/>
      <c r="S426"/>
    </row>
    <row r="427" spans="1:19" x14ac:dyDescent="0.3">
      <c r="A427" s="1">
        <v>1008</v>
      </c>
      <c r="B427" s="2">
        <v>45268</v>
      </c>
      <c r="C427" s="1" t="s">
        <v>33</v>
      </c>
      <c r="D427" s="1" t="s">
        <v>49</v>
      </c>
      <c r="E427" s="1">
        <v>3197.78</v>
      </c>
      <c r="F427" s="1">
        <v>49</v>
      </c>
      <c r="G427" s="1" t="s">
        <v>31</v>
      </c>
      <c r="H427" s="1">
        <v>2907.22</v>
      </c>
      <c r="I427" s="1">
        <v>3385.6099999999901</v>
      </c>
      <c r="J427" s="1" t="s">
        <v>27</v>
      </c>
      <c r="K427" s="1">
        <v>0.13</v>
      </c>
      <c r="L427" s="1" t="s">
        <v>18</v>
      </c>
      <c r="M427" s="1" t="s">
        <v>19</v>
      </c>
      <c r="N427" s="1">
        <f>SUM(Table3[[#This Row],[Unit_Price]]-Table3[[#This Row],[Unit_Cost]])</f>
        <v>478.38999999999032</v>
      </c>
      <c r="O427" s="7"/>
      <c r="P427" s="7"/>
      <c r="Q427" s="7"/>
      <c r="S427"/>
    </row>
    <row r="428" spans="1:19" x14ac:dyDescent="0.3">
      <c r="A428" s="1">
        <v>1016</v>
      </c>
      <c r="B428" s="2">
        <v>44953</v>
      </c>
      <c r="C428" s="1" t="s">
        <v>32</v>
      </c>
      <c r="D428" s="1" t="s">
        <v>50</v>
      </c>
      <c r="E428" s="1">
        <v>2783.85</v>
      </c>
      <c r="F428" s="1">
        <v>41</v>
      </c>
      <c r="G428" s="1" t="s">
        <v>24</v>
      </c>
      <c r="H428" s="1">
        <v>3386.49</v>
      </c>
      <c r="I428" s="1">
        <v>3430.99</v>
      </c>
      <c r="J428" s="1" t="s">
        <v>27</v>
      </c>
      <c r="K428" s="1">
        <v>0.21</v>
      </c>
      <c r="L428" s="1" t="s">
        <v>25</v>
      </c>
      <c r="M428" s="1" t="s">
        <v>21</v>
      </c>
      <c r="N428" s="1">
        <f>SUM(Table3[[#This Row],[Unit_Price]]-Table3[[#This Row],[Unit_Cost]])</f>
        <v>44.5</v>
      </c>
      <c r="O428" s="7"/>
      <c r="P428" s="7"/>
      <c r="Q428" s="7"/>
      <c r="S428"/>
    </row>
    <row r="429" spans="1:19" x14ac:dyDescent="0.3">
      <c r="A429" s="1">
        <v>1014</v>
      </c>
      <c r="B429" s="2">
        <v>45239</v>
      </c>
      <c r="C429" s="1" t="s">
        <v>22</v>
      </c>
      <c r="D429" s="1" t="s">
        <v>44</v>
      </c>
      <c r="E429" s="1">
        <v>6016.92</v>
      </c>
      <c r="F429" s="1">
        <v>9</v>
      </c>
      <c r="G429" s="1" t="s">
        <v>31</v>
      </c>
      <c r="H429" s="1">
        <v>132.47</v>
      </c>
      <c r="I429" s="1">
        <v>316.39</v>
      </c>
      <c r="J429" s="1" t="s">
        <v>27</v>
      </c>
      <c r="K429" s="1">
        <v>0.14000000000000001</v>
      </c>
      <c r="L429" s="1" t="s">
        <v>28</v>
      </c>
      <c r="M429" s="1" t="s">
        <v>19</v>
      </c>
      <c r="N429" s="1">
        <f>SUM(Table3[[#This Row],[Unit_Price]]-Table3[[#This Row],[Unit_Cost]])</f>
        <v>183.92</v>
      </c>
      <c r="O429" s="7"/>
      <c r="P429" s="7"/>
      <c r="Q429" s="7"/>
      <c r="S429"/>
    </row>
    <row r="430" spans="1:19" x14ac:dyDescent="0.3">
      <c r="A430" s="1">
        <v>1076</v>
      </c>
      <c r="B430" s="2">
        <v>45213</v>
      </c>
      <c r="C430" s="1" t="s">
        <v>29</v>
      </c>
      <c r="D430" s="1" t="s">
        <v>45</v>
      </c>
      <c r="E430" s="1">
        <v>8674.35</v>
      </c>
      <c r="F430" s="1">
        <v>23</v>
      </c>
      <c r="G430" s="1" t="s">
        <v>24</v>
      </c>
      <c r="H430" s="1">
        <v>1727.78</v>
      </c>
      <c r="I430" s="1">
        <v>1984.34</v>
      </c>
      <c r="J430" s="1" t="s">
        <v>17</v>
      </c>
      <c r="K430" s="1">
        <v>0.24</v>
      </c>
      <c r="L430" s="1" t="s">
        <v>25</v>
      </c>
      <c r="M430" s="1" t="s">
        <v>19</v>
      </c>
      <c r="N430" s="1">
        <f>SUM(Table3[[#This Row],[Unit_Price]]-Table3[[#This Row],[Unit_Cost]])</f>
        <v>256.55999999999995</v>
      </c>
      <c r="O430" s="7"/>
      <c r="P430" s="7"/>
      <c r="Q430" s="7"/>
      <c r="S430"/>
    </row>
    <row r="431" spans="1:19" x14ac:dyDescent="0.3">
      <c r="A431" s="1">
        <v>1087</v>
      </c>
      <c r="B431" s="2">
        <v>45060</v>
      </c>
      <c r="C431" s="1" t="s">
        <v>29</v>
      </c>
      <c r="D431" s="1" t="s">
        <v>46</v>
      </c>
      <c r="E431" s="1">
        <v>9472.66</v>
      </c>
      <c r="F431" s="1">
        <v>10</v>
      </c>
      <c r="G431" s="1" t="s">
        <v>31</v>
      </c>
      <c r="H431" s="1">
        <v>3988.52</v>
      </c>
      <c r="I431" s="1">
        <v>4240.2299999999996</v>
      </c>
      <c r="J431" s="1" t="s">
        <v>27</v>
      </c>
      <c r="K431" s="1">
        <v>0.05</v>
      </c>
      <c r="L431" s="1" t="s">
        <v>28</v>
      </c>
      <c r="M431" s="1" t="s">
        <v>19</v>
      </c>
      <c r="N431" s="1">
        <f>SUM(Table3[[#This Row],[Unit_Price]]-Table3[[#This Row],[Unit_Cost]])</f>
        <v>251.70999999999958</v>
      </c>
      <c r="O431" s="7"/>
      <c r="P431" s="7"/>
      <c r="Q431" s="7"/>
      <c r="S431"/>
    </row>
    <row r="432" spans="1:19" x14ac:dyDescent="0.3">
      <c r="A432" s="1">
        <v>1015</v>
      </c>
      <c r="B432" s="2">
        <v>45145</v>
      </c>
      <c r="C432" s="1" t="s">
        <v>33</v>
      </c>
      <c r="D432" s="1" t="s">
        <v>47</v>
      </c>
      <c r="E432" s="1">
        <v>1148.47</v>
      </c>
      <c r="F432" s="1">
        <v>19</v>
      </c>
      <c r="G432" s="1" t="s">
        <v>26</v>
      </c>
      <c r="H432" s="1">
        <v>433.54</v>
      </c>
      <c r="I432" s="1">
        <v>445.48</v>
      </c>
      <c r="J432" s="1" t="s">
        <v>27</v>
      </c>
      <c r="K432" s="1">
        <v>0.28999999999999998</v>
      </c>
      <c r="L432" s="1" t="s">
        <v>25</v>
      </c>
      <c r="M432" s="1" t="s">
        <v>21</v>
      </c>
      <c r="N432" s="1">
        <f>SUM(Table3[[#This Row],[Unit_Price]]-Table3[[#This Row],[Unit_Cost]])</f>
        <v>11.939999999999998</v>
      </c>
      <c r="O432" s="7"/>
      <c r="P432" s="7"/>
      <c r="Q432" s="7"/>
      <c r="S432"/>
    </row>
    <row r="433" spans="1:19" x14ac:dyDescent="0.3">
      <c r="A433" s="1">
        <v>1092</v>
      </c>
      <c r="B433" s="2">
        <v>45094</v>
      </c>
      <c r="C433" s="1" t="s">
        <v>33</v>
      </c>
      <c r="D433" s="1" t="s">
        <v>48</v>
      </c>
      <c r="E433" s="1">
        <v>1632.8</v>
      </c>
      <c r="F433" s="1">
        <v>47</v>
      </c>
      <c r="G433" s="1" t="s">
        <v>16</v>
      </c>
      <c r="H433" s="1">
        <v>1447.45</v>
      </c>
      <c r="I433" s="1">
        <v>1703.02</v>
      </c>
      <c r="J433" s="1" t="s">
        <v>17</v>
      </c>
      <c r="K433" s="1">
        <v>0.12</v>
      </c>
      <c r="L433" s="1" t="s">
        <v>25</v>
      </c>
      <c r="M433" s="1" t="s">
        <v>21</v>
      </c>
      <c r="N433" s="1">
        <f>SUM(Table3[[#This Row],[Unit_Price]]-Table3[[#This Row],[Unit_Cost]])</f>
        <v>255.56999999999994</v>
      </c>
      <c r="O433" s="7"/>
      <c r="P433" s="7"/>
      <c r="Q433" s="7"/>
      <c r="S433"/>
    </row>
    <row r="434" spans="1:19" x14ac:dyDescent="0.3">
      <c r="A434" s="1">
        <v>1098</v>
      </c>
      <c r="B434" s="2">
        <v>45024</v>
      </c>
      <c r="C434" s="1" t="s">
        <v>32</v>
      </c>
      <c r="D434" s="1" t="s">
        <v>49</v>
      </c>
      <c r="E434" s="1">
        <v>9452.89</v>
      </c>
      <c r="F434" s="1">
        <v>5</v>
      </c>
      <c r="G434" s="1" t="s">
        <v>31</v>
      </c>
      <c r="H434" s="1">
        <v>2947.22</v>
      </c>
      <c r="I434" s="1">
        <v>3145.27</v>
      </c>
      <c r="J434" s="1" t="s">
        <v>27</v>
      </c>
      <c r="K434" s="1">
        <v>0.1</v>
      </c>
      <c r="L434" s="1" t="s">
        <v>28</v>
      </c>
      <c r="M434" s="1" t="s">
        <v>21</v>
      </c>
      <c r="N434" s="1">
        <f>SUM(Table3[[#This Row],[Unit_Price]]-Table3[[#This Row],[Unit_Cost]])</f>
        <v>198.05000000000018</v>
      </c>
      <c r="O434" s="7"/>
      <c r="P434" s="7"/>
      <c r="Q434" s="7"/>
      <c r="S434"/>
    </row>
    <row r="435" spans="1:19" x14ac:dyDescent="0.3">
      <c r="A435" s="1">
        <v>1066</v>
      </c>
      <c r="B435" s="2">
        <v>45194</v>
      </c>
      <c r="C435" s="1" t="s">
        <v>32</v>
      </c>
      <c r="D435" s="1" t="s">
        <v>50</v>
      </c>
      <c r="E435" s="1">
        <v>7391.7</v>
      </c>
      <c r="F435" s="1">
        <v>47</v>
      </c>
      <c r="G435" s="1" t="s">
        <v>24</v>
      </c>
      <c r="H435" s="1">
        <v>1319.24</v>
      </c>
      <c r="I435" s="1">
        <v>1805.56</v>
      </c>
      <c r="J435" s="1" t="s">
        <v>27</v>
      </c>
      <c r="K435" s="1">
        <v>0.26</v>
      </c>
      <c r="L435" s="1" t="s">
        <v>28</v>
      </c>
      <c r="M435" s="1" t="s">
        <v>21</v>
      </c>
      <c r="N435" s="1">
        <f>SUM(Table3[[#This Row],[Unit_Price]]-Table3[[#This Row],[Unit_Cost]])</f>
        <v>486.31999999999994</v>
      </c>
      <c r="O435" s="7"/>
      <c r="P435" s="7"/>
      <c r="Q435" s="7"/>
      <c r="S435"/>
    </row>
    <row r="436" spans="1:19" x14ac:dyDescent="0.3">
      <c r="A436" s="1">
        <v>1032</v>
      </c>
      <c r="B436" s="2">
        <v>45163</v>
      </c>
      <c r="C436" s="1" t="s">
        <v>14</v>
      </c>
      <c r="D436" s="1" t="s">
        <v>44</v>
      </c>
      <c r="E436" s="1">
        <v>8841.64</v>
      </c>
      <c r="F436" s="1">
        <v>23</v>
      </c>
      <c r="G436" s="1" t="s">
        <v>31</v>
      </c>
      <c r="H436" s="1">
        <v>4673.1899999999996</v>
      </c>
      <c r="I436" s="1">
        <v>4761.1799999999903</v>
      </c>
      <c r="J436" s="1" t="s">
        <v>17</v>
      </c>
      <c r="K436" s="1">
        <v>0.17</v>
      </c>
      <c r="L436" s="1" t="s">
        <v>28</v>
      </c>
      <c r="M436" s="1" t="s">
        <v>21</v>
      </c>
      <c r="N436" s="1">
        <f>SUM(Table3[[#This Row],[Unit_Price]]-Table3[[#This Row],[Unit_Cost]])</f>
        <v>87.989999999990687</v>
      </c>
      <c r="O436" s="7"/>
      <c r="P436" s="7"/>
      <c r="Q436" s="7"/>
      <c r="S436"/>
    </row>
    <row r="437" spans="1:19" x14ac:dyDescent="0.3">
      <c r="A437" s="1">
        <v>1087</v>
      </c>
      <c r="B437" s="2">
        <v>45235</v>
      </c>
      <c r="C437" s="1" t="s">
        <v>32</v>
      </c>
      <c r="D437" s="1" t="s">
        <v>45</v>
      </c>
      <c r="E437" s="1">
        <v>2106.06</v>
      </c>
      <c r="F437" s="1">
        <v>30</v>
      </c>
      <c r="G437" s="1" t="s">
        <v>31</v>
      </c>
      <c r="H437" s="1">
        <v>698.74</v>
      </c>
      <c r="I437" s="1">
        <v>882.28</v>
      </c>
      <c r="J437" s="1" t="s">
        <v>17</v>
      </c>
      <c r="K437" s="1">
        <v>0.15</v>
      </c>
      <c r="L437" s="1" t="s">
        <v>28</v>
      </c>
      <c r="M437" s="1" t="s">
        <v>19</v>
      </c>
      <c r="N437" s="1">
        <f>SUM(Table3[[#This Row],[Unit_Price]]-Table3[[#This Row],[Unit_Cost]])</f>
        <v>183.53999999999996</v>
      </c>
      <c r="O437" s="7"/>
      <c r="P437" s="7"/>
      <c r="Q437" s="7"/>
      <c r="S437"/>
    </row>
    <row r="438" spans="1:19" x14ac:dyDescent="0.3">
      <c r="A438" s="1">
        <v>1063</v>
      </c>
      <c r="B438" s="2">
        <v>45099</v>
      </c>
      <c r="C438" s="1" t="s">
        <v>14</v>
      </c>
      <c r="D438" s="1" t="s">
        <v>46</v>
      </c>
      <c r="E438" s="1">
        <v>5917.1</v>
      </c>
      <c r="F438" s="1">
        <v>25</v>
      </c>
      <c r="G438" s="1" t="s">
        <v>31</v>
      </c>
      <c r="H438" s="1">
        <v>3997.1</v>
      </c>
      <c r="I438" s="1">
        <v>4212.6499999999996</v>
      </c>
      <c r="J438" s="1" t="s">
        <v>27</v>
      </c>
      <c r="K438" s="1">
        <v>0.22</v>
      </c>
      <c r="L438" s="1" t="s">
        <v>18</v>
      </c>
      <c r="M438" s="1" t="s">
        <v>19</v>
      </c>
      <c r="N438" s="1">
        <f>SUM(Table3[[#This Row],[Unit_Price]]-Table3[[#This Row],[Unit_Cost]])</f>
        <v>215.54999999999973</v>
      </c>
      <c r="O438" s="7"/>
      <c r="P438" s="7"/>
      <c r="Q438" s="7"/>
      <c r="S438"/>
    </row>
    <row r="439" spans="1:19" x14ac:dyDescent="0.3">
      <c r="A439" s="1">
        <v>1086</v>
      </c>
      <c r="B439" s="2">
        <v>45116</v>
      </c>
      <c r="C439" s="1" t="s">
        <v>22</v>
      </c>
      <c r="D439" s="1" t="s">
        <v>47</v>
      </c>
      <c r="E439" s="1">
        <v>7041.28</v>
      </c>
      <c r="F439" s="1">
        <v>28</v>
      </c>
      <c r="G439" s="1" t="s">
        <v>24</v>
      </c>
      <c r="H439" s="1">
        <v>2564.35</v>
      </c>
      <c r="I439" s="1">
        <v>2765.79</v>
      </c>
      <c r="J439" s="1" t="s">
        <v>17</v>
      </c>
      <c r="K439" s="1">
        <v>0.17</v>
      </c>
      <c r="L439" s="1" t="s">
        <v>28</v>
      </c>
      <c r="M439" s="1" t="s">
        <v>19</v>
      </c>
      <c r="N439" s="1">
        <f>SUM(Table3[[#This Row],[Unit_Price]]-Table3[[#This Row],[Unit_Cost]])</f>
        <v>201.44000000000005</v>
      </c>
      <c r="O439" s="7"/>
      <c r="P439" s="7"/>
      <c r="Q439" s="7"/>
      <c r="S439"/>
    </row>
    <row r="440" spans="1:19" x14ac:dyDescent="0.3">
      <c r="A440" s="1">
        <v>1051</v>
      </c>
      <c r="B440" s="2">
        <v>45048</v>
      </c>
      <c r="C440" s="1" t="s">
        <v>33</v>
      </c>
      <c r="D440" s="1" t="s">
        <v>48</v>
      </c>
      <c r="E440" s="1">
        <v>6833.11</v>
      </c>
      <c r="F440" s="1">
        <v>34</v>
      </c>
      <c r="G440" s="1" t="s">
        <v>16</v>
      </c>
      <c r="H440" s="1">
        <v>3764.14</v>
      </c>
      <c r="I440" s="1">
        <v>4100.3999999999996</v>
      </c>
      <c r="J440" s="1" t="s">
        <v>17</v>
      </c>
      <c r="K440" s="1">
        <v>0.05</v>
      </c>
      <c r="L440" s="1" t="s">
        <v>25</v>
      </c>
      <c r="M440" s="1" t="s">
        <v>21</v>
      </c>
      <c r="N440" s="1">
        <f>SUM(Table3[[#This Row],[Unit_Price]]-Table3[[#This Row],[Unit_Cost]])</f>
        <v>336.25999999999976</v>
      </c>
      <c r="O440" s="7"/>
      <c r="P440" s="7"/>
      <c r="Q440" s="7"/>
      <c r="S440"/>
    </row>
    <row r="441" spans="1:19" x14ac:dyDescent="0.3">
      <c r="A441" s="1">
        <v>1025</v>
      </c>
      <c r="B441" s="2">
        <v>44972</v>
      </c>
      <c r="C441" s="1" t="s">
        <v>22</v>
      </c>
      <c r="D441" s="1" t="s">
        <v>49</v>
      </c>
      <c r="E441" s="1">
        <v>4140.7</v>
      </c>
      <c r="F441" s="1">
        <v>45</v>
      </c>
      <c r="G441" s="1" t="s">
        <v>26</v>
      </c>
      <c r="H441" s="1">
        <v>1588.04</v>
      </c>
      <c r="I441" s="1">
        <v>1703.6399999999901</v>
      </c>
      <c r="J441" s="1" t="s">
        <v>27</v>
      </c>
      <c r="K441" s="1">
        <v>0.2</v>
      </c>
      <c r="L441" s="1" t="s">
        <v>25</v>
      </c>
      <c r="M441" s="1" t="s">
        <v>21</v>
      </c>
      <c r="N441" s="1">
        <f>SUM(Table3[[#This Row],[Unit_Price]]-Table3[[#This Row],[Unit_Cost]])</f>
        <v>115.59999999999013</v>
      </c>
      <c r="O441" s="7"/>
      <c r="P441" s="7"/>
      <c r="Q441" s="7"/>
      <c r="S441"/>
    </row>
    <row r="442" spans="1:19" x14ac:dyDescent="0.3">
      <c r="A442" s="1">
        <v>1058</v>
      </c>
      <c r="B442" s="2">
        <v>44990</v>
      </c>
      <c r="C442" s="1" t="s">
        <v>32</v>
      </c>
      <c r="D442" s="1" t="s">
        <v>50</v>
      </c>
      <c r="E442" s="1">
        <v>252.41</v>
      </c>
      <c r="F442" s="1">
        <v>48</v>
      </c>
      <c r="G442" s="1" t="s">
        <v>16</v>
      </c>
      <c r="H442" s="1">
        <v>2596.7199999999998</v>
      </c>
      <c r="I442" s="1">
        <v>2715.0499999999902</v>
      </c>
      <c r="J442" s="1" t="s">
        <v>17</v>
      </c>
      <c r="K442" s="1">
        <v>0.04</v>
      </c>
      <c r="L442" s="1" t="s">
        <v>18</v>
      </c>
      <c r="M442" s="1" t="s">
        <v>19</v>
      </c>
      <c r="N442" s="1">
        <f>SUM(Table3[[#This Row],[Unit_Price]]-Table3[[#This Row],[Unit_Cost]])</f>
        <v>118.32999999999038</v>
      </c>
      <c r="O442" s="7"/>
      <c r="P442" s="7"/>
      <c r="Q442" s="7"/>
      <c r="S442"/>
    </row>
    <row r="443" spans="1:19" x14ac:dyDescent="0.3">
      <c r="A443" s="1">
        <v>1063</v>
      </c>
      <c r="B443" s="2">
        <v>45056</v>
      </c>
      <c r="C443" s="1" t="s">
        <v>22</v>
      </c>
      <c r="D443" s="1" t="s">
        <v>44</v>
      </c>
      <c r="E443" s="1">
        <v>5870.97</v>
      </c>
      <c r="F443" s="1">
        <v>47</v>
      </c>
      <c r="G443" s="1" t="s">
        <v>31</v>
      </c>
      <c r="H443" s="1">
        <v>4291.33</v>
      </c>
      <c r="I443" s="1">
        <v>4658.6400000000003</v>
      </c>
      <c r="J443" s="1" t="s">
        <v>27</v>
      </c>
      <c r="K443" s="1">
        <v>0.24</v>
      </c>
      <c r="L443" s="1" t="s">
        <v>28</v>
      </c>
      <c r="M443" s="1" t="s">
        <v>21</v>
      </c>
      <c r="N443" s="1">
        <f>SUM(Table3[[#This Row],[Unit_Price]]-Table3[[#This Row],[Unit_Cost]])</f>
        <v>367.3100000000004</v>
      </c>
      <c r="O443" s="7"/>
      <c r="P443" s="7"/>
      <c r="Q443" s="7"/>
      <c r="S443"/>
    </row>
    <row r="444" spans="1:19" x14ac:dyDescent="0.3">
      <c r="A444" s="1">
        <v>1062</v>
      </c>
      <c r="B444" s="2">
        <v>45236</v>
      </c>
      <c r="C444" s="1" t="s">
        <v>22</v>
      </c>
      <c r="D444" s="1" t="s">
        <v>45</v>
      </c>
      <c r="E444" s="1">
        <v>2605.71</v>
      </c>
      <c r="F444" s="1">
        <v>25</v>
      </c>
      <c r="G444" s="1" t="s">
        <v>24</v>
      </c>
      <c r="H444" s="1">
        <v>2361.0500000000002</v>
      </c>
      <c r="I444" s="1">
        <v>2616.19</v>
      </c>
      <c r="J444" s="1" t="s">
        <v>27</v>
      </c>
      <c r="K444" s="1">
        <v>0.3</v>
      </c>
      <c r="L444" s="1" t="s">
        <v>25</v>
      </c>
      <c r="M444" s="1" t="s">
        <v>21</v>
      </c>
      <c r="N444" s="1">
        <f>SUM(Table3[[#This Row],[Unit_Price]]-Table3[[#This Row],[Unit_Cost]])</f>
        <v>255.13999999999987</v>
      </c>
      <c r="O444" s="7"/>
      <c r="P444" s="7"/>
      <c r="Q444" s="7"/>
      <c r="S444"/>
    </row>
    <row r="445" spans="1:19" x14ac:dyDescent="0.3">
      <c r="A445" s="1">
        <v>1022</v>
      </c>
      <c r="B445" s="2">
        <v>45289</v>
      </c>
      <c r="C445" s="1" t="s">
        <v>22</v>
      </c>
      <c r="D445" s="1" t="s">
        <v>46</v>
      </c>
      <c r="E445" s="1">
        <v>4557.5200000000004</v>
      </c>
      <c r="F445" s="1">
        <v>10</v>
      </c>
      <c r="G445" s="1" t="s">
        <v>16</v>
      </c>
      <c r="H445" s="1">
        <v>1830.61</v>
      </c>
      <c r="I445" s="1">
        <v>2044.04</v>
      </c>
      <c r="J445" s="1" t="s">
        <v>27</v>
      </c>
      <c r="K445" s="1">
        <v>0.11</v>
      </c>
      <c r="L445" s="1" t="s">
        <v>18</v>
      </c>
      <c r="M445" s="1" t="s">
        <v>19</v>
      </c>
      <c r="N445" s="1">
        <f>SUM(Table3[[#This Row],[Unit_Price]]-Table3[[#This Row],[Unit_Cost]])</f>
        <v>213.43000000000006</v>
      </c>
      <c r="O445" s="7"/>
      <c r="P445" s="7"/>
      <c r="Q445" s="7"/>
      <c r="S445"/>
    </row>
    <row r="446" spans="1:19" x14ac:dyDescent="0.3">
      <c r="A446" s="1">
        <v>1058</v>
      </c>
      <c r="B446" s="2">
        <v>45119</v>
      </c>
      <c r="C446" s="1" t="s">
        <v>32</v>
      </c>
      <c r="D446" s="1" t="s">
        <v>47</v>
      </c>
      <c r="E446" s="1">
        <v>9580.0499999999993</v>
      </c>
      <c r="F446" s="1">
        <v>14</v>
      </c>
      <c r="G446" s="1" t="s">
        <v>31</v>
      </c>
      <c r="H446" s="1">
        <v>2703.97</v>
      </c>
      <c r="I446" s="1">
        <v>2796.8799999999901</v>
      </c>
      <c r="J446" s="1" t="s">
        <v>27</v>
      </c>
      <c r="K446" s="1">
        <v>0.13</v>
      </c>
      <c r="L446" s="1" t="s">
        <v>25</v>
      </c>
      <c r="M446" s="1" t="s">
        <v>19</v>
      </c>
      <c r="N446" s="1">
        <f>SUM(Table3[[#This Row],[Unit_Price]]-Table3[[#This Row],[Unit_Cost]])</f>
        <v>92.909999999990305</v>
      </c>
      <c r="O446" s="7"/>
      <c r="P446" s="7"/>
      <c r="Q446" s="7"/>
      <c r="S446"/>
    </row>
    <row r="447" spans="1:19" x14ac:dyDescent="0.3">
      <c r="A447" s="1">
        <v>1058</v>
      </c>
      <c r="B447" s="2">
        <v>45233</v>
      </c>
      <c r="C447" s="1" t="s">
        <v>22</v>
      </c>
      <c r="D447" s="1" t="s">
        <v>48</v>
      </c>
      <c r="E447" s="1">
        <v>4050.45</v>
      </c>
      <c r="F447" s="1">
        <v>42</v>
      </c>
      <c r="G447" s="1" t="s">
        <v>26</v>
      </c>
      <c r="H447" s="1">
        <v>3600.95</v>
      </c>
      <c r="I447" s="1">
        <v>3702.8399999999901</v>
      </c>
      <c r="J447" s="1" t="s">
        <v>17</v>
      </c>
      <c r="K447" s="1">
        <v>0.01</v>
      </c>
      <c r="L447" s="1" t="s">
        <v>18</v>
      </c>
      <c r="M447" s="1" t="s">
        <v>21</v>
      </c>
      <c r="N447" s="1">
        <f>SUM(Table3[[#This Row],[Unit_Price]]-Table3[[#This Row],[Unit_Cost]])</f>
        <v>101.88999999999032</v>
      </c>
      <c r="O447" s="7"/>
      <c r="P447" s="7"/>
      <c r="Q447" s="7"/>
      <c r="S447"/>
    </row>
    <row r="448" spans="1:19" x14ac:dyDescent="0.3">
      <c r="A448" s="1">
        <v>1086</v>
      </c>
      <c r="B448" s="2">
        <v>45107</v>
      </c>
      <c r="C448" s="1" t="s">
        <v>14</v>
      </c>
      <c r="D448" s="1" t="s">
        <v>49</v>
      </c>
      <c r="E448" s="1">
        <v>8414.0400000000009</v>
      </c>
      <c r="F448" s="1">
        <v>46</v>
      </c>
      <c r="G448" s="1" t="s">
        <v>26</v>
      </c>
      <c r="H448" s="1">
        <v>2245.64</v>
      </c>
      <c r="I448" s="1">
        <v>2260.81</v>
      </c>
      <c r="J448" s="1" t="s">
        <v>27</v>
      </c>
      <c r="K448" s="1">
        <v>0</v>
      </c>
      <c r="L448" s="1" t="s">
        <v>18</v>
      </c>
      <c r="M448" s="1" t="s">
        <v>21</v>
      </c>
      <c r="N448" s="1">
        <f>SUM(Table3[[#This Row],[Unit_Price]]-Table3[[#This Row],[Unit_Cost]])</f>
        <v>15.170000000000073</v>
      </c>
      <c r="O448" s="7"/>
      <c r="P448" s="7"/>
      <c r="Q448" s="7"/>
      <c r="S448"/>
    </row>
    <row r="449" spans="1:19" x14ac:dyDescent="0.3">
      <c r="A449" s="1">
        <v>1049</v>
      </c>
      <c r="B449" s="2">
        <v>45218</v>
      </c>
      <c r="C449" s="1" t="s">
        <v>32</v>
      </c>
      <c r="D449" s="1" t="s">
        <v>50</v>
      </c>
      <c r="E449" s="1">
        <v>1966.55</v>
      </c>
      <c r="F449" s="1">
        <v>30</v>
      </c>
      <c r="G449" s="1" t="s">
        <v>26</v>
      </c>
      <c r="H449" s="1">
        <v>4697.4399999999996</v>
      </c>
      <c r="I449" s="1">
        <v>4752.24</v>
      </c>
      <c r="J449" s="1" t="s">
        <v>27</v>
      </c>
      <c r="K449" s="1">
        <v>0.28000000000000003</v>
      </c>
      <c r="L449" s="1" t="s">
        <v>28</v>
      </c>
      <c r="M449" s="1" t="s">
        <v>19</v>
      </c>
      <c r="N449" s="1">
        <f>SUM(Table3[[#This Row],[Unit_Price]]-Table3[[#This Row],[Unit_Cost]])</f>
        <v>54.800000000000182</v>
      </c>
      <c r="O449" s="7"/>
      <c r="P449" s="7"/>
      <c r="Q449" s="7"/>
      <c r="S449"/>
    </row>
    <row r="450" spans="1:19" x14ac:dyDescent="0.3">
      <c r="A450" s="1">
        <v>1052</v>
      </c>
      <c r="B450" s="2">
        <v>45208</v>
      </c>
      <c r="C450" s="1" t="s">
        <v>22</v>
      </c>
      <c r="D450" s="1" t="s">
        <v>44</v>
      </c>
      <c r="E450" s="1">
        <v>6757.36</v>
      </c>
      <c r="F450" s="1">
        <v>41</v>
      </c>
      <c r="G450" s="1" t="s">
        <v>31</v>
      </c>
      <c r="H450" s="1">
        <v>1509.98</v>
      </c>
      <c r="I450" s="1">
        <v>1792.83</v>
      </c>
      <c r="J450" s="1" t="s">
        <v>27</v>
      </c>
      <c r="K450" s="1">
        <v>0.04</v>
      </c>
      <c r="L450" s="1" t="s">
        <v>18</v>
      </c>
      <c r="M450" s="1" t="s">
        <v>21</v>
      </c>
      <c r="N450" s="1">
        <f>SUM(Table3[[#This Row],[Unit_Price]]-Table3[[#This Row],[Unit_Cost]])</f>
        <v>282.84999999999991</v>
      </c>
      <c r="O450" s="7"/>
      <c r="P450" s="7"/>
      <c r="Q450" s="7"/>
      <c r="S450"/>
    </row>
    <row r="451" spans="1:19" x14ac:dyDescent="0.3">
      <c r="A451" s="1">
        <v>1042</v>
      </c>
      <c r="B451" s="2">
        <v>44955</v>
      </c>
      <c r="C451" s="1" t="s">
        <v>32</v>
      </c>
      <c r="D451" s="1" t="s">
        <v>45</v>
      </c>
      <c r="E451" s="1">
        <v>9772.3700000000008</v>
      </c>
      <c r="F451" s="1">
        <v>25</v>
      </c>
      <c r="G451" s="1" t="s">
        <v>24</v>
      </c>
      <c r="H451" s="1">
        <v>2403.54</v>
      </c>
      <c r="I451" s="1">
        <v>2850.56</v>
      </c>
      <c r="J451" s="1" t="s">
        <v>27</v>
      </c>
      <c r="K451" s="1">
        <v>0.13</v>
      </c>
      <c r="L451" s="1" t="s">
        <v>25</v>
      </c>
      <c r="M451" s="1" t="s">
        <v>19</v>
      </c>
      <c r="N451" s="1">
        <f>SUM(Table3[[#This Row],[Unit_Price]]-Table3[[#This Row],[Unit_Cost]])</f>
        <v>447.02</v>
      </c>
      <c r="O451" s="7"/>
      <c r="P451" s="7"/>
      <c r="Q451" s="7"/>
      <c r="S451"/>
    </row>
    <row r="452" spans="1:19" x14ac:dyDescent="0.3">
      <c r="A452" s="1">
        <v>1070</v>
      </c>
      <c r="B452" s="2">
        <v>45075</v>
      </c>
      <c r="C452" s="1" t="s">
        <v>29</v>
      </c>
      <c r="D452" s="1" t="s">
        <v>46</v>
      </c>
      <c r="E452" s="1">
        <v>1108.74</v>
      </c>
      <c r="F452" s="1">
        <v>14</v>
      </c>
      <c r="G452" s="1" t="s">
        <v>16</v>
      </c>
      <c r="H452" s="1">
        <v>3796.79</v>
      </c>
      <c r="I452" s="1">
        <v>3947.5</v>
      </c>
      <c r="J452" s="1" t="s">
        <v>17</v>
      </c>
      <c r="K452" s="1">
        <v>0.24</v>
      </c>
      <c r="L452" s="1" t="s">
        <v>25</v>
      </c>
      <c r="M452" s="1" t="s">
        <v>19</v>
      </c>
      <c r="N452" s="1">
        <f>SUM(Table3[[#This Row],[Unit_Price]]-Table3[[#This Row],[Unit_Cost]])</f>
        <v>150.71000000000004</v>
      </c>
      <c r="O452" s="7"/>
      <c r="P452" s="7"/>
      <c r="Q452" s="7"/>
      <c r="S452"/>
    </row>
    <row r="453" spans="1:19" x14ac:dyDescent="0.3">
      <c r="A453" s="1">
        <v>1015</v>
      </c>
      <c r="B453" s="2">
        <v>45193</v>
      </c>
      <c r="C453" s="1" t="s">
        <v>14</v>
      </c>
      <c r="D453" s="1" t="s">
        <v>47</v>
      </c>
      <c r="E453" s="1">
        <v>182.37</v>
      </c>
      <c r="F453" s="1">
        <v>35</v>
      </c>
      <c r="G453" s="1" t="s">
        <v>26</v>
      </c>
      <c r="H453" s="1">
        <v>3461.15</v>
      </c>
      <c r="I453" s="1">
        <v>3631.75</v>
      </c>
      <c r="J453" s="1" t="s">
        <v>17</v>
      </c>
      <c r="K453" s="1">
        <v>0.27</v>
      </c>
      <c r="L453" s="1" t="s">
        <v>28</v>
      </c>
      <c r="M453" s="1" t="s">
        <v>19</v>
      </c>
      <c r="N453" s="1">
        <f>SUM(Table3[[#This Row],[Unit_Price]]-Table3[[#This Row],[Unit_Cost]])</f>
        <v>170.59999999999991</v>
      </c>
      <c r="O453" s="7"/>
      <c r="P453" s="7"/>
      <c r="Q453" s="7"/>
      <c r="S453"/>
    </row>
    <row r="454" spans="1:19" x14ac:dyDescent="0.3">
      <c r="A454" s="1">
        <v>1054</v>
      </c>
      <c r="B454" s="2">
        <v>45222</v>
      </c>
      <c r="C454" s="1" t="s">
        <v>22</v>
      </c>
      <c r="D454" s="1" t="s">
        <v>48</v>
      </c>
      <c r="E454" s="1">
        <v>4392.47</v>
      </c>
      <c r="F454" s="1">
        <v>48</v>
      </c>
      <c r="G454" s="1" t="s">
        <v>31</v>
      </c>
      <c r="H454" s="1">
        <v>4325.0200000000004</v>
      </c>
      <c r="I454" s="1">
        <v>4391.67</v>
      </c>
      <c r="J454" s="1" t="s">
        <v>17</v>
      </c>
      <c r="K454" s="1">
        <v>0.16</v>
      </c>
      <c r="L454" s="1" t="s">
        <v>28</v>
      </c>
      <c r="M454" s="1" t="s">
        <v>21</v>
      </c>
      <c r="N454" s="1">
        <f>SUM(Table3[[#This Row],[Unit_Price]]-Table3[[#This Row],[Unit_Cost]])</f>
        <v>66.649999999999636</v>
      </c>
      <c r="O454" s="7"/>
      <c r="P454" s="7"/>
      <c r="Q454" s="7"/>
      <c r="S454"/>
    </row>
    <row r="455" spans="1:19" x14ac:dyDescent="0.3">
      <c r="A455" s="1">
        <v>1060</v>
      </c>
      <c r="B455" s="2">
        <v>44937</v>
      </c>
      <c r="C455" s="1" t="s">
        <v>29</v>
      </c>
      <c r="D455" s="1" t="s">
        <v>49</v>
      </c>
      <c r="E455" s="1">
        <v>1016.99</v>
      </c>
      <c r="F455" s="1">
        <v>34</v>
      </c>
      <c r="G455" s="1" t="s">
        <v>31</v>
      </c>
      <c r="H455" s="1">
        <v>4984.21</v>
      </c>
      <c r="I455" s="1">
        <v>5184.6400000000003</v>
      </c>
      <c r="J455" s="1" t="s">
        <v>27</v>
      </c>
      <c r="K455" s="1">
        <v>0.17</v>
      </c>
      <c r="L455" s="1" t="s">
        <v>18</v>
      </c>
      <c r="M455" s="1" t="s">
        <v>19</v>
      </c>
      <c r="N455" s="1">
        <f>SUM(Table3[[#This Row],[Unit_Price]]-Table3[[#This Row],[Unit_Cost]])</f>
        <v>200.43000000000029</v>
      </c>
      <c r="O455" s="7"/>
      <c r="P455" s="7"/>
      <c r="Q455" s="7"/>
      <c r="S455"/>
    </row>
    <row r="456" spans="1:19" x14ac:dyDescent="0.3">
      <c r="A456" s="1">
        <v>1097</v>
      </c>
      <c r="B456" s="2">
        <v>45090</v>
      </c>
      <c r="C456" s="1" t="s">
        <v>29</v>
      </c>
      <c r="D456" s="1" t="s">
        <v>50</v>
      </c>
      <c r="E456" s="1">
        <v>7509.01</v>
      </c>
      <c r="F456" s="1">
        <v>10</v>
      </c>
      <c r="G456" s="1" t="s">
        <v>16</v>
      </c>
      <c r="H456" s="1">
        <v>2162.9499999999998</v>
      </c>
      <c r="I456" s="1">
        <v>2191.1899999999901</v>
      </c>
      <c r="J456" s="1" t="s">
        <v>17</v>
      </c>
      <c r="K456" s="1">
        <v>0.2</v>
      </c>
      <c r="L456" s="1" t="s">
        <v>28</v>
      </c>
      <c r="M456" s="1" t="s">
        <v>19</v>
      </c>
      <c r="N456" s="1">
        <f>SUM(Table3[[#This Row],[Unit_Price]]-Table3[[#This Row],[Unit_Cost]])</f>
        <v>28.239999999990232</v>
      </c>
      <c r="O456" s="7"/>
      <c r="P456" s="7"/>
      <c r="Q456" s="7"/>
      <c r="S456"/>
    </row>
    <row r="457" spans="1:19" x14ac:dyDescent="0.3">
      <c r="A457" s="1">
        <v>1008</v>
      </c>
      <c r="B457" s="2">
        <v>45039</v>
      </c>
      <c r="C457" s="1" t="s">
        <v>32</v>
      </c>
      <c r="D457" s="1" t="s">
        <v>44</v>
      </c>
      <c r="E457" s="1">
        <v>9154.0300000000007</v>
      </c>
      <c r="F457" s="1">
        <v>35</v>
      </c>
      <c r="G457" s="1" t="s">
        <v>26</v>
      </c>
      <c r="H457" s="1">
        <v>600.20000000000005</v>
      </c>
      <c r="I457" s="1">
        <v>1059.82</v>
      </c>
      <c r="J457" s="1" t="s">
        <v>17</v>
      </c>
      <c r="K457" s="1">
        <v>0.28999999999999998</v>
      </c>
      <c r="L457" s="1" t="s">
        <v>25</v>
      </c>
      <c r="M457" s="1" t="s">
        <v>21</v>
      </c>
      <c r="N457" s="1">
        <f>SUM(Table3[[#This Row],[Unit_Price]]-Table3[[#This Row],[Unit_Cost]])</f>
        <v>459.61999999999989</v>
      </c>
      <c r="O457" s="7"/>
      <c r="P457" s="7"/>
      <c r="Q457" s="7"/>
      <c r="S457"/>
    </row>
    <row r="458" spans="1:19" x14ac:dyDescent="0.3">
      <c r="A458" s="1">
        <v>1053</v>
      </c>
      <c r="B458" s="2">
        <v>45113</v>
      </c>
      <c r="C458" s="1" t="s">
        <v>29</v>
      </c>
      <c r="D458" s="1" t="s">
        <v>45</v>
      </c>
      <c r="E458" s="1">
        <v>4396.8100000000004</v>
      </c>
      <c r="F458" s="1">
        <v>11</v>
      </c>
      <c r="G458" s="1" t="s">
        <v>31</v>
      </c>
      <c r="H458" s="1">
        <v>200.56</v>
      </c>
      <c r="I458" s="1">
        <v>540.38</v>
      </c>
      <c r="J458" s="1" t="s">
        <v>27</v>
      </c>
      <c r="K458" s="1">
        <v>0.18</v>
      </c>
      <c r="L458" s="1" t="s">
        <v>25</v>
      </c>
      <c r="M458" s="1" t="s">
        <v>19</v>
      </c>
      <c r="N458" s="1">
        <f>SUM(Table3[[#This Row],[Unit_Price]]-Table3[[#This Row],[Unit_Cost]])</f>
        <v>339.82</v>
      </c>
      <c r="O458" s="7"/>
      <c r="P458" s="7"/>
      <c r="Q458" s="7"/>
      <c r="S458"/>
    </row>
    <row r="459" spans="1:19" x14ac:dyDescent="0.3">
      <c r="A459" s="1">
        <v>1060</v>
      </c>
      <c r="B459" s="2">
        <v>45221</v>
      </c>
      <c r="C459" s="1" t="s">
        <v>14</v>
      </c>
      <c r="D459" s="1" t="s">
        <v>46</v>
      </c>
      <c r="E459" s="1">
        <v>2661.25</v>
      </c>
      <c r="F459" s="1">
        <v>11</v>
      </c>
      <c r="G459" s="1" t="s">
        <v>16</v>
      </c>
      <c r="H459" s="1">
        <v>3648.04</v>
      </c>
      <c r="I459" s="1">
        <v>4143.51</v>
      </c>
      <c r="J459" s="1" t="s">
        <v>17</v>
      </c>
      <c r="K459" s="1">
        <v>0.17</v>
      </c>
      <c r="L459" s="1" t="s">
        <v>28</v>
      </c>
      <c r="M459" s="1" t="s">
        <v>21</v>
      </c>
      <c r="N459" s="1">
        <f>SUM(Table3[[#This Row],[Unit_Price]]-Table3[[#This Row],[Unit_Cost]])</f>
        <v>495.47000000000025</v>
      </c>
      <c r="O459" s="7"/>
      <c r="P459" s="7"/>
      <c r="Q459" s="7"/>
      <c r="S459"/>
    </row>
    <row r="460" spans="1:19" x14ac:dyDescent="0.3">
      <c r="A460" s="1">
        <v>1005</v>
      </c>
      <c r="B460" s="2">
        <v>45158</v>
      </c>
      <c r="C460" s="1" t="s">
        <v>14</v>
      </c>
      <c r="D460" s="1" t="s">
        <v>47</v>
      </c>
      <c r="E460" s="1">
        <v>4400.59</v>
      </c>
      <c r="F460" s="1">
        <v>21</v>
      </c>
      <c r="G460" s="1" t="s">
        <v>24</v>
      </c>
      <c r="H460" s="1">
        <v>4376.37</v>
      </c>
      <c r="I460" s="1">
        <v>4818.95</v>
      </c>
      <c r="J460" s="1" t="s">
        <v>27</v>
      </c>
      <c r="K460" s="1">
        <v>0</v>
      </c>
      <c r="L460" s="1" t="s">
        <v>28</v>
      </c>
      <c r="M460" s="1" t="s">
        <v>21</v>
      </c>
      <c r="N460" s="1">
        <f>SUM(Table3[[#This Row],[Unit_Price]]-Table3[[#This Row],[Unit_Cost]])</f>
        <v>442.57999999999993</v>
      </c>
      <c r="O460" s="7"/>
      <c r="P460" s="7"/>
      <c r="Q460" s="7"/>
      <c r="S460"/>
    </row>
    <row r="461" spans="1:19" x14ac:dyDescent="0.3">
      <c r="A461" s="1">
        <v>1068</v>
      </c>
      <c r="B461" s="2">
        <v>45153</v>
      </c>
      <c r="C461" s="1" t="s">
        <v>33</v>
      </c>
      <c r="D461" s="1" t="s">
        <v>48</v>
      </c>
      <c r="E461" s="1">
        <v>7262.13</v>
      </c>
      <c r="F461" s="1">
        <v>21</v>
      </c>
      <c r="G461" s="1" t="s">
        <v>24</v>
      </c>
      <c r="H461" s="1">
        <v>1142.53</v>
      </c>
      <c r="I461" s="1">
        <v>1384.3</v>
      </c>
      <c r="J461" s="1" t="s">
        <v>17</v>
      </c>
      <c r="K461" s="1">
        <v>0.02</v>
      </c>
      <c r="L461" s="1" t="s">
        <v>28</v>
      </c>
      <c r="M461" s="1" t="s">
        <v>21</v>
      </c>
      <c r="N461" s="1">
        <f>SUM(Table3[[#This Row],[Unit_Price]]-Table3[[#This Row],[Unit_Cost]])</f>
        <v>241.76999999999998</v>
      </c>
      <c r="O461" s="7"/>
      <c r="P461" s="7"/>
      <c r="Q461" s="7"/>
      <c r="S461"/>
    </row>
    <row r="462" spans="1:19" x14ac:dyDescent="0.3">
      <c r="A462" s="1">
        <v>1006</v>
      </c>
      <c r="B462" s="2">
        <v>45236</v>
      </c>
      <c r="C462" s="1" t="s">
        <v>14</v>
      </c>
      <c r="D462" s="1" t="s">
        <v>49</v>
      </c>
      <c r="E462" s="1">
        <v>189.64</v>
      </c>
      <c r="F462" s="1">
        <v>22</v>
      </c>
      <c r="G462" s="1" t="s">
        <v>24</v>
      </c>
      <c r="H462" s="1">
        <v>834.32</v>
      </c>
      <c r="I462" s="1">
        <v>1098.97</v>
      </c>
      <c r="J462" s="1" t="s">
        <v>17</v>
      </c>
      <c r="K462" s="1">
        <v>0.17</v>
      </c>
      <c r="L462" s="1" t="s">
        <v>18</v>
      </c>
      <c r="M462" s="1" t="s">
        <v>19</v>
      </c>
      <c r="N462" s="1">
        <f>SUM(Table3[[#This Row],[Unit_Price]]-Table3[[#This Row],[Unit_Cost]])</f>
        <v>264.64999999999998</v>
      </c>
      <c r="O462" s="7"/>
      <c r="P462" s="7"/>
      <c r="Q462" s="7"/>
      <c r="S462"/>
    </row>
    <row r="463" spans="1:19" x14ac:dyDescent="0.3">
      <c r="A463" s="1">
        <v>1096</v>
      </c>
      <c r="B463" s="2">
        <v>45024</v>
      </c>
      <c r="C463" s="1" t="s">
        <v>29</v>
      </c>
      <c r="D463" s="1" t="s">
        <v>50</v>
      </c>
      <c r="E463" s="1">
        <v>5935.59</v>
      </c>
      <c r="F463" s="1">
        <v>45</v>
      </c>
      <c r="G463" s="1" t="s">
        <v>26</v>
      </c>
      <c r="H463" s="1">
        <v>357.92</v>
      </c>
      <c r="I463" s="1">
        <v>461.3</v>
      </c>
      <c r="J463" s="1" t="s">
        <v>17</v>
      </c>
      <c r="K463" s="1">
        <v>0.28000000000000003</v>
      </c>
      <c r="L463" s="1" t="s">
        <v>18</v>
      </c>
      <c r="M463" s="1" t="s">
        <v>19</v>
      </c>
      <c r="N463" s="1">
        <f>SUM(Table3[[#This Row],[Unit_Price]]-Table3[[#This Row],[Unit_Cost]])</f>
        <v>103.38</v>
      </c>
      <c r="O463" s="7"/>
      <c r="P463" s="7"/>
      <c r="Q463" s="7"/>
      <c r="S463"/>
    </row>
    <row r="464" spans="1:19" x14ac:dyDescent="0.3">
      <c r="A464" s="1">
        <v>1094</v>
      </c>
      <c r="B464" s="2">
        <v>44981</v>
      </c>
      <c r="C464" s="1" t="s">
        <v>14</v>
      </c>
      <c r="D464" s="1" t="s">
        <v>44</v>
      </c>
      <c r="E464" s="1">
        <v>6171.59</v>
      </c>
      <c r="F464" s="1">
        <v>7</v>
      </c>
      <c r="G464" s="1" t="s">
        <v>16</v>
      </c>
      <c r="H464" s="1">
        <v>4122.38</v>
      </c>
      <c r="I464" s="1">
        <v>4358.78</v>
      </c>
      <c r="J464" s="1" t="s">
        <v>17</v>
      </c>
      <c r="K464" s="1">
        <v>0.26</v>
      </c>
      <c r="L464" s="1" t="s">
        <v>25</v>
      </c>
      <c r="M464" s="1" t="s">
        <v>21</v>
      </c>
      <c r="N464" s="1">
        <f>SUM(Table3[[#This Row],[Unit_Price]]-Table3[[#This Row],[Unit_Cost]])</f>
        <v>236.39999999999964</v>
      </c>
      <c r="O464" s="7"/>
      <c r="P464" s="7"/>
      <c r="Q464" s="7"/>
      <c r="S464"/>
    </row>
    <row r="465" spans="1:19" x14ac:dyDescent="0.3">
      <c r="A465" s="1">
        <v>1047</v>
      </c>
      <c r="B465" s="2">
        <v>45037</v>
      </c>
      <c r="C465" s="1" t="s">
        <v>32</v>
      </c>
      <c r="D465" s="1" t="s">
        <v>45</v>
      </c>
      <c r="E465" s="1">
        <v>6413.11</v>
      </c>
      <c r="F465" s="1">
        <v>17</v>
      </c>
      <c r="G465" s="1" t="s">
        <v>16</v>
      </c>
      <c r="H465" s="1">
        <v>1591.34</v>
      </c>
      <c r="I465" s="1">
        <v>2043.82</v>
      </c>
      <c r="J465" s="1" t="s">
        <v>27</v>
      </c>
      <c r="K465" s="1">
        <v>0.28999999999999998</v>
      </c>
      <c r="L465" s="1" t="s">
        <v>18</v>
      </c>
      <c r="M465" s="1" t="s">
        <v>21</v>
      </c>
      <c r="N465" s="1">
        <f>SUM(Table3[[#This Row],[Unit_Price]]-Table3[[#This Row],[Unit_Cost]])</f>
        <v>452.48</v>
      </c>
      <c r="O465" s="7"/>
      <c r="P465" s="7"/>
      <c r="Q465" s="7"/>
      <c r="S465"/>
    </row>
    <row r="466" spans="1:19" x14ac:dyDescent="0.3">
      <c r="A466" s="1">
        <v>1099</v>
      </c>
      <c r="B466" s="2">
        <v>45078</v>
      </c>
      <c r="C466" s="1" t="s">
        <v>33</v>
      </c>
      <c r="D466" s="1" t="s">
        <v>46</v>
      </c>
      <c r="E466" s="1">
        <v>2496.02</v>
      </c>
      <c r="F466" s="1">
        <v>2</v>
      </c>
      <c r="G466" s="1" t="s">
        <v>31</v>
      </c>
      <c r="H466" s="1">
        <v>2038.4</v>
      </c>
      <c r="I466" s="1">
        <v>2073.3200000000002</v>
      </c>
      <c r="J466" s="1" t="s">
        <v>27</v>
      </c>
      <c r="K466" s="1">
        <v>0.16</v>
      </c>
      <c r="L466" s="1" t="s">
        <v>18</v>
      </c>
      <c r="M466" s="1" t="s">
        <v>21</v>
      </c>
      <c r="N466" s="1">
        <f>SUM(Table3[[#This Row],[Unit_Price]]-Table3[[#This Row],[Unit_Cost]])</f>
        <v>34.920000000000073</v>
      </c>
      <c r="O466" s="7"/>
      <c r="P466" s="7"/>
      <c r="Q466" s="7"/>
      <c r="S466"/>
    </row>
    <row r="467" spans="1:19" x14ac:dyDescent="0.3">
      <c r="A467" s="1">
        <v>1055</v>
      </c>
      <c r="B467" s="2">
        <v>45172</v>
      </c>
      <c r="C467" s="1" t="s">
        <v>29</v>
      </c>
      <c r="D467" s="1" t="s">
        <v>47</v>
      </c>
      <c r="E467" s="1">
        <v>7169.12</v>
      </c>
      <c r="F467" s="1">
        <v>12</v>
      </c>
      <c r="G467" s="1" t="s">
        <v>31</v>
      </c>
      <c r="H467" s="1">
        <v>2538.61</v>
      </c>
      <c r="I467" s="1">
        <v>2971.75</v>
      </c>
      <c r="J467" s="1" t="s">
        <v>17</v>
      </c>
      <c r="K467" s="1">
        <v>0.24</v>
      </c>
      <c r="L467" s="1" t="s">
        <v>18</v>
      </c>
      <c r="M467" s="1" t="s">
        <v>19</v>
      </c>
      <c r="N467" s="1">
        <f>SUM(Table3[[#This Row],[Unit_Price]]-Table3[[#This Row],[Unit_Cost]])</f>
        <v>433.13999999999987</v>
      </c>
      <c r="O467" s="7"/>
      <c r="P467" s="7"/>
      <c r="Q467" s="7"/>
      <c r="S467"/>
    </row>
    <row r="468" spans="1:19" x14ac:dyDescent="0.3">
      <c r="A468" s="1">
        <v>1040</v>
      </c>
      <c r="B468" s="2">
        <v>44995</v>
      </c>
      <c r="C468" s="1" t="s">
        <v>33</v>
      </c>
      <c r="D468" s="1" t="s">
        <v>48</v>
      </c>
      <c r="E468" s="1">
        <v>1004.78</v>
      </c>
      <c r="F468" s="1">
        <v>42</v>
      </c>
      <c r="G468" s="1" t="s">
        <v>31</v>
      </c>
      <c r="H468" s="1">
        <v>4205.29</v>
      </c>
      <c r="I468" s="1">
        <v>4382.3500000000004</v>
      </c>
      <c r="J468" s="1" t="s">
        <v>27</v>
      </c>
      <c r="K468" s="1">
        <v>0.25</v>
      </c>
      <c r="L468" s="1" t="s">
        <v>18</v>
      </c>
      <c r="M468" s="1" t="s">
        <v>21</v>
      </c>
      <c r="N468" s="1">
        <f>SUM(Table3[[#This Row],[Unit_Price]]-Table3[[#This Row],[Unit_Cost]])</f>
        <v>177.0600000000004</v>
      </c>
      <c r="O468" s="7"/>
      <c r="P468" s="7"/>
      <c r="Q468" s="7"/>
      <c r="S468"/>
    </row>
    <row r="469" spans="1:19" x14ac:dyDescent="0.3">
      <c r="A469" s="1">
        <v>1052</v>
      </c>
      <c r="B469" s="2">
        <v>45238</v>
      </c>
      <c r="C469" s="1" t="s">
        <v>29</v>
      </c>
      <c r="D469" s="1" t="s">
        <v>49</v>
      </c>
      <c r="E469" s="1">
        <v>2072.7800000000002</v>
      </c>
      <c r="F469" s="1">
        <v>18</v>
      </c>
      <c r="G469" s="1" t="s">
        <v>16</v>
      </c>
      <c r="H469" s="1">
        <v>3271.62</v>
      </c>
      <c r="I469" s="1">
        <v>3722.38</v>
      </c>
      <c r="J469" s="1" t="s">
        <v>17</v>
      </c>
      <c r="K469" s="1">
        <v>0.19</v>
      </c>
      <c r="L469" s="1" t="s">
        <v>25</v>
      </c>
      <c r="M469" s="1" t="s">
        <v>21</v>
      </c>
      <c r="N469" s="1">
        <f>SUM(Table3[[#This Row],[Unit_Price]]-Table3[[#This Row],[Unit_Cost]])</f>
        <v>450.76000000000022</v>
      </c>
      <c r="O469" s="7"/>
      <c r="P469" s="7"/>
      <c r="Q469" s="7"/>
      <c r="S469"/>
    </row>
    <row r="470" spans="1:19" x14ac:dyDescent="0.3">
      <c r="A470" s="1">
        <v>1016</v>
      </c>
      <c r="B470" s="2">
        <v>45215</v>
      </c>
      <c r="C470" s="1" t="s">
        <v>32</v>
      </c>
      <c r="D470" s="1" t="s">
        <v>50</v>
      </c>
      <c r="E470" s="1">
        <v>8786.9500000000007</v>
      </c>
      <c r="F470" s="1">
        <v>11</v>
      </c>
      <c r="G470" s="1" t="s">
        <v>31</v>
      </c>
      <c r="H470" s="1">
        <v>3094.57</v>
      </c>
      <c r="I470" s="1">
        <v>3565.6</v>
      </c>
      <c r="J470" s="1" t="s">
        <v>17</v>
      </c>
      <c r="K470" s="1">
        <v>0.1</v>
      </c>
      <c r="L470" s="1" t="s">
        <v>28</v>
      </c>
      <c r="M470" s="1" t="s">
        <v>21</v>
      </c>
      <c r="N470" s="1">
        <f>SUM(Table3[[#This Row],[Unit_Price]]-Table3[[#This Row],[Unit_Cost]])</f>
        <v>471.02999999999975</v>
      </c>
      <c r="O470" s="7"/>
      <c r="P470" s="7"/>
      <c r="Q470" s="7"/>
      <c r="S470"/>
    </row>
    <row r="471" spans="1:19" x14ac:dyDescent="0.3">
      <c r="A471" s="1">
        <v>1013</v>
      </c>
      <c r="B471" s="2">
        <v>45176</v>
      </c>
      <c r="C471" s="1" t="s">
        <v>33</v>
      </c>
      <c r="D471" s="1" t="s">
        <v>44</v>
      </c>
      <c r="E471" s="1">
        <v>7413.36</v>
      </c>
      <c r="F471" s="1">
        <v>16</v>
      </c>
      <c r="G471" s="1" t="s">
        <v>16</v>
      </c>
      <c r="H471" s="1">
        <v>919.58</v>
      </c>
      <c r="I471" s="1">
        <v>1258.3</v>
      </c>
      <c r="J471" s="1" t="s">
        <v>17</v>
      </c>
      <c r="K471" s="1">
        <v>0.14000000000000001</v>
      </c>
      <c r="L471" s="1" t="s">
        <v>25</v>
      </c>
      <c r="M471" s="1" t="s">
        <v>19</v>
      </c>
      <c r="N471" s="1">
        <f>SUM(Table3[[#This Row],[Unit_Price]]-Table3[[#This Row],[Unit_Cost]])</f>
        <v>338.71999999999991</v>
      </c>
      <c r="O471" s="7"/>
      <c r="P471" s="7"/>
      <c r="Q471" s="7"/>
      <c r="S471"/>
    </row>
    <row r="472" spans="1:19" x14ac:dyDescent="0.3">
      <c r="A472" s="1">
        <v>1030</v>
      </c>
      <c r="B472" s="2">
        <v>44962</v>
      </c>
      <c r="C472" s="1" t="s">
        <v>22</v>
      </c>
      <c r="D472" s="1" t="s">
        <v>45</v>
      </c>
      <c r="E472" s="1">
        <v>236.08</v>
      </c>
      <c r="F472" s="1">
        <v>49</v>
      </c>
      <c r="G472" s="1" t="s">
        <v>16</v>
      </c>
      <c r="H472" s="1">
        <v>2590.29</v>
      </c>
      <c r="I472" s="1">
        <v>2925.86</v>
      </c>
      <c r="J472" s="1" t="s">
        <v>17</v>
      </c>
      <c r="K472" s="1">
        <v>0.26</v>
      </c>
      <c r="L472" s="1" t="s">
        <v>18</v>
      </c>
      <c r="M472" s="1" t="s">
        <v>21</v>
      </c>
      <c r="N472" s="1">
        <f>SUM(Table3[[#This Row],[Unit_Price]]-Table3[[#This Row],[Unit_Cost]])</f>
        <v>335.57000000000016</v>
      </c>
      <c r="O472" s="7"/>
      <c r="P472" s="7"/>
      <c r="Q472" s="7"/>
      <c r="S472"/>
    </row>
    <row r="473" spans="1:19" x14ac:dyDescent="0.3">
      <c r="A473" s="1">
        <v>1019</v>
      </c>
      <c r="B473" s="2">
        <v>45165</v>
      </c>
      <c r="C473" s="1" t="s">
        <v>29</v>
      </c>
      <c r="D473" s="1" t="s">
        <v>46</v>
      </c>
      <c r="E473" s="1">
        <v>2558.92</v>
      </c>
      <c r="F473" s="1">
        <v>18</v>
      </c>
      <c r="G473" s="1" t="s">
        <v>24</v>
      </c>
      <c r="H473" s="1">
        <v>3591.14</v>
      </c>
      <c r="I473" s="1">
        <v>3822.99</v>
      </c>
      <c r="J473" s="1" t="s">
        <v>17</v>
      </c>
      <c r="K473" s="1">
        <v>0.09</v>
      </c>
      <c r="L473" s="1" t="s">
        <v>28</v>
      </c>
      <c r="M473" s="1" t="s">
        <v>19</v>
      </c>
      <c r="N473" s="1">
        <f>SUM(Table3[[#This Row],[Unit_Price]]-Table3[[#This Row],[Unit_Cost]])</f>
        <v>231.84999999999991</v>
      </c>
      <c r="O473" s="7"/>
      <c r="P473" s="7"/>
      <c r="Q473" s="7"/>
      <c r="S473"/>
    </row>
    <row r="474" spans="1:19" x14ac:dyDescent="0.3">
      <c r="A474" s="1">
        <v>1017</v>
      </c>
      <c r="B474" s="2">
        <v>45074</v>
      </c>
      <c r="C474" s="1" t="s">
        <v>22</v>
      </c>
      <c r="D474" s="1" t="s">
        <v>47</v>
      </c>
      <c r="E474" s="1">
        <v>2222.62</v>
      </c>
      <c r="F474" s="1">
        <v>35</v>
      </c>
      <c r="G474" s="1" t="s">
        <v>31</v>
      </c>
      <c r="H474" s="1">
        <v>4867.6400000000003</v>
      </c>
      <c r="I474" s="1">
        <v>5287.05</v>
      </c>
      <c r="J474" s="1" t="s">
        <v>17</v>
      </c>
      <c r="K474" s="1">
        <v>0.28000000000000003</v>
      </c>
      <c r="L474" s="1" t="s">
        <v>28</v>
      </c>
      <c r="M474" s="1" t="s">
        <v>19</v>
      </c>
      <c r="N474" s="1">
        <f>SUM(Table3[[#This Row],[Unit_Price]]-Table3[[#This Row],[Unit_Cost]])</f>
        <v>419.40999999999985</v>
      </c>
      <c r="O474" s="7"/>
      <c r="P474" s="7"/>
      <c r="Q474" s="7"/>
      <c r="S474"/>
    </row>
    <row r="475" spans="1:19" x14ac:dyDescent="0.3">
      <c r="A475" s="1">
        <v>1063</v>
      </c>
      <c r="B475" s="2">
        <v>45153</v>
      </c>
      <c r="C475" s="1" t="s">
        <v>33</v>
      </c>
      <c r="D475" s="1" t="s">
        <v>48</v>
      </c>
      <c r="E475" s="1">
        <v>2780.98</v>
      </c>
      <c r="F475" s="1">
        <v>26</v>
      </c>
      <c r="G475" s="1" t="s">
        <v>24</v>
      </c>
      <c r="H475" s="1">
        <v>1046.96</v>
      </c>
      <c r="I475" s="1">
        <v>1528.15</v>
      </c>
      <c r="J475" s="1" t="s">
        <v>27</v>
      </c>
      <c r="K475" s="1">
        <v>7.0000000000000007E-2</v>
      </c>
      <c r="L475" s="1" t="s">
        <v>28</v>
      </c>
      <c r="M475" s="1" t="s">
        <v>21</v>
      </c>
      <c r="N475" s="1">
        <f>SUM(Table3[[#This Row],[Unit_Price]]-Table3[[#This Row],[Unit_Cost]])</f>
        <v>481.19000000000005</v>
      </c>
      <c r="O475" s="7"/>
      <c r="P475" s="7"/>
      <c r="Q475" s="7"/>
      <c r="S475"/>
    </row>
    <row r="476" spans="1:19" x14ac:dyDescent="0.3">
      <c r="A476" s="1">
        <v>1019</v>
      </c>
      <c r="B476" s="2">
        <v>45170</v>
      </c>
      <c r="C476" s="1" t="s">
        <v>22</v>
      </c>
      <c r="D476" s="1" t="s">
        <v>49</v>
      </c>
      <c r="E476" s="1">
        <v>2550.84</v>
      </c>
      <c r="F476" s="1">
        <v>16</v>
      </c>
      <c r="G476" s="1" t="s">
        <v>26</v>
      </c>
      <c r="H476" s="1">
        <v>97.24</v>
      </c>
      <c r="I476" s="1">
        <v>487.03</v>
      </c>
      <c r="J476" s="1" t="s">
        <v>27</v>
      </c>
      <c r="K476" s="1">
        <v>0.22</v>
      </c>
      <c r="L476" s="1" t="s">
        <v>25</v>
      </c>
      <c r="M476" s="1" t="s">
        <v>21</v>
      </c>
      <c r="N476" s="1">
        <f>SUM(Table3[[#This Row],[Unit_Price]]-Table3[[#This Row],[Unit_Cost]])</f>
        <v>389.78999999999996</v>
      </c>
      <c r="O476" s="7"/>
      <c r="P476" s="7"/>
      <c r="Q476" s="7"/>
      <c r="S476"/>
    </row>
    <row r="477" spans="1:19" x14ac:dyDescent="0.3">
      <c r="A477" s="1">
        <v>1092</v>
      </c>
      <c r="B477" s="2">
        <v>45263</v>
      </c>
      <c r="C477" s="1" t="s">
        <v>22</v>
      </c>
      <c r="D477" s="1" t="s">
        <v>50</v>
      </c>
      <c r="E477" s="1">
        <v>719.01</v>
      </c>
      <c r="F477" s="1">
        <v>6</v>
      </c>
      <c r="G477" s="1" t="s">
        <v>26</v>
      </c>
      <c r="H477" s="1">
        <v>422.74</v>
      </c>
      <c r="I477" s="1">
        <v>737.49</v>
      </c>
      <c r="J477" s="1" t="s">
        <v>17</v>
      </c>
      <c r="K477" s="1">
        <v>0.19</v>
      </c>
      <c r="L477" s="1" t="s">
        <v>28</v>
      </c>
      <c r="M477" s="1" t="s">
        <v>21</v>
      </c>
      <c r="N477" s="1">
        <f>SUM(Table3[[#This Row],[Unit_Price]]-Table3[[#This Row],[Unit_Cost]])</f>
        <v>314.75</v>
      </c>
      <c r="O477" s="7"/>
      <c r="P477" s="7"/>
      <c r="Q477" s="7"/>
      <c r="S477"/>
    </row>
    <row r="478" spans="1:19" x14ac:dyDescent="0.3">
      <c r="A478" s="1">
        <v>1058</v>
      </c>
      <c r="B478" s="2">
        <v>45291</v>
      </c>
      <c r="C478" s="1" t="s">
        <v>33</v>
      </c>
      <c r="D478" s="1" t="s">
        <v>44</v>
      </c>
      <c r="E478" s="1">
        <v>4643.51</v>
      </c>
      <c r="F478" s="1">
        <v>44</v>
      </c>
      <c r="G478" s="1" t="s">
        <v>26</v>
      </c>
      <c r="H478" s="1">
        <v>1910.47</v>
      </c>
      <c r="I478" s="1">
        <v>2217.8000000000002</v>
      </c>
      <c r="J478" s="1" t="s">
        <v>27</v>
      </c>
      <c r="K478" s="1">
        <v>0.22</v>
      </c>
      <c r="L478" s="1" t="s">
        <v>25</v>
      </c>
      <c r="M478" s="1" t="s">
        <v>19</v>
      </c>
      <c r="N478" s="1">
        <f>SUM(Table3[[#This Row],[Unit_Price]]-Table3[[#This Row],[Unit_Cost]])</f>
        <v>307.33000000000015</v>
      </c>
      <c r="O478" s="7"/>
      <c r="P478" s="7"/>
      <c r="Q478" s="7"/>
      <c r="S478"/>
    </row>
    <row r="479" spans="1:19" x14ac:dyDescent="0.3">
      <c r="A479" s="1">
        <v>1055</v>
      </c>
      <c r="B479" s="2">
        <v>45127</v>
      </c>
      <c r="C479" s="1" t="s">
        <v>32</v>
      </c>
      <c r="D479" s="1" t="s">
        <v>45</v>
      </c>
      <c r="E479" s="1">
        <v>7354.06</v>
      </c>
      <c r="F479" s="1">
        <v>43</v>
      </c>
      <c r="G479" s="1" t="s">
        <v>16</v>
      </c>
      <c r="H479" s="1">
        <v>4111.7</v>
      </c>
      <c r="I479" s="1">
        <v>4537.9399999999996</v>
      </c>
      <c r="J479" s="1" t="s">
        <v>17</v>
      </c>
      <c r="K479" s="1">
        <v>0.13</v>
      </c>
      <c r="L479" s="1" t="s">
        <v>25</v>
      </c>
      <c r="M479" s="1" t="s">
        <v>19</v>
      </c>
      <c r="N479" s="1">
        <f>SUM(Table3[[#This Row],[Unit_Price]]-Table3[[#This Row],[Unit_Cost]])</f>
        <v>426.23999999999978</v>
      </c>
      <c r="O479" s="7"/>
      <c r="P479" s="7"/>
      <c r="Q479" s="7"/>
      <c r="S479"/>
    </row>
    <row r="480" spans="1:19" x14ac:dyDescent="0.3">
      <c r="A480" s="1">
        <v>1090</v>
      </c>
      <c r="B480" s="2">
        <v>45080</v>
      </c>
      <c r="C480" s="1" t="s">
        <v>22</v>
      </c>
      <c r="D480" s="1" t="s">
        <v>46</v>
      </c>
      <c r="E480" s="1">
        <v>6106.64</v>
      </c>
      <c r="F480" s="1">
        <v>47</v>
      </c>
      <c r="G480" s="1" t="s">
        <v>16</v>
      </c>
      <c r="H480" s="1">
        <v>85.35</v>
      </c>
      <c r="I480" s="1">
        <v>360.539999999999</v>
      </c>
      <c r="J480" s="1" t="s">
        <v>27</v>
      </c>
      <c r="K480" s="1">
        <v>0.28000000000000003</v>
      </c>
      <c r="L480" s="1" t="s">
        <v>18</v>
      </c>
      <c r="M480" s="1" t="s">
        <v>19</v>
      </c>
      <c r="N480" s="1">
        <f>SUM(Table3[[#This Row],[Unit_Price]]-Table3[[#This Row],[Unit_Cost]])</f>
        <v>275.18999999999903</v>
      </c>
      <c r="O480" s="7"/>
      <c r="P480" s="7"/>
      <c r="Q480" s="7"/>
      <c r="S480"/>
    </row>
    <row r="481" spans="1:19" x14ac:dyDescent="0.3">
      <c r="A481" s="1">
        <v>1090</v>
      </c>
      <c r="B481" s="2">
        <v>44999</v>
      </c>
      <c r="C481" s="1" t="s">
        <v>22</v>
      </c>
      <c r="D481" s="1" t="s">
        <v>47</v>
      </c>
      <c r="E481" s="1">
        <v>6761.43</v>
      </c>
      <c r="F481" s="1">
        <v>47</v>
      </c>
      <c r="G481" s="1" t="s">
        <v>16</v>
      </c>
      <c r="H481" s="1">
        <v>2310.8200000000002</v>
      </c>
      <c r="I481" s="1">
        <v>2714.71</v>
      </c>
      <c r="J481" s="1" t="s">
        <v>27</v>
      </c>
      <c r="K481" s="1">
        <v>0.19</v>
      </c>
      <c r="L481" s="1" t="s">
        <v>18</v>
      </c>
      <c r="M481" s="1" t="s">
        <v>21</v>
      </c>
      <c r="N481" s="1">
        <f>SUM(Table3[[#This Row],[Unit_Price]]-Table3[[#This Row],[Unit_Cost]])</f>
        <v>403.88999999999987</v>
      </c>
      <c r="O481" s="7"/>
      <c r="P481" s="7"/>
      <c r="Q481" s="7"/>
      <c r="S481"/>
    </row>
    <row r="482" spans="1:19" x14ac:dyDescent="0.3">
      <c r="A482" s="1">
        <v>1062</v>
      </c>
      <c r="B482" s="2">
        <v>45127</v>
      </c>
      <c r="C482" s="1" t="s">
        <v>32</v>
      </c>
      <c r="D482" s="1" t="s">
        <v>48</v>
      </c>
      <c r="E482" s="1">
        <v>903.38</v>
      </c>
      <c r="F482" s="1">
        <v>48</v>
      </c>
      <c r="G482" s="1" t="s">
        <v>31</v>
      </c>
      <c r="H482" s="1">
        <v>1679.69</v>
      </c>
      <c r="I482" s="1">
        <v>1939.04</v>
      </c>
      <c r="J482" s="1" t="s">
        <v>27</v>
      </c>
      <c r="K482" s="1">
        <v>0.09</v>
      </c>
      <c r="L482" s="1" t="s">
        <v>28</v>
      </c>
      <c r="M482" s="1" t="s">
        <v>19</v>
      </c>
      <c r="N482" s="1">
        <f>SUM(Table3[[#This Row],[Unit_Price]]-Table3[[#This Row],[Unit_Cost]])</f>
        <v>259.34999999999991</v>
      </c>
      <c r="O482" s="7"/>
      <c r="P482" s="7"/>
      <c r="Q482" s="7"/>
      <c r="S482"/>
    </row>
    <row r="483" spans="1:19" x14ac:dyDescent="0.3">
      <c r="A483" s="1">
        <v>1023</v>
      </c>
      <c r="B483" s="2">
        <v>45222</v>
      </c>
      <c r="C483" s="1" t="s">
        <v>22</v>
      </c>
      <c r="D483" s="1" t="s">
        <v>49</v>
      </c>
      <c r="E483" s="1">
        <v>9519.76</v>
      </c>
      <c r="F483" s="1">
        <v>42</v>
      </c>
      <c r="G483" s="1" t="s">
        <v>24</v>
      </c>
      <c r="H483" s="1">
        <v>309.77999999999997</v>
      </c>
      <c r="I483" s="1">
        <v>350.38</v>
      </c>
      <c r="J483" s="1" t="s">
        <v>17</v>
      </c>
      <c r="K483" s="1">
        <v>0.19</v>
      </c>
      <c r="L483" s="1" t="s">
        <v>28</v>
      </c>
      <c r="M483" s="1" t="s">
        <v>21</v>
      </c>
      <c r="N483" s="1">
        <f>SUM(Table3[[#This Row],[Unit_Price]]-Table3[[#This Row],[Unit_Cost]])</f>
        <v>40.600000000000023</v>
      </c>
      <c r="O483" s="7"/>
      <c r="P483" s="7"/>
      <c r="Q483" s="7"/>
      <c r="S483"/>
    </row>
    <row r="484" spans="1:19" x14ac:dyDescent="0.3">
      <c r="A484" s="1">
        <v>1009</v>
      </c>
      <c r="B484" s="2">
        <v>44943</v>
      </c>
      <c r="C484" s="1" t="s">
        <v>22</v>
      </c>
      <c r="D484" s="1" t="s">
        <v>50</v>
      </c>
      <c r="E484" s="1">
        <v>8401.07</v>
      </c>
      <c r="F484" s="1">
        <v>12</v>
      </c>
      <c r="G484" s="1" t="s">
        <v>16</v>
      </c>
      <c r="H484" s="1">
        <v>2278.67</v>
      </c>
      <c r="I484" s="1">
        <v>2476.8000000000002</v>
      </c>
      <c r="J484" s="1" t="s">
        <v>27</v>
      </c>
      <c r="K484" s="1">
        <v>0.09</v>
      </c>
      <c r="L484" s="1" t="s">
        <v>18</v>
      </c>
      <c r="M484" s="1" t="s">
        <v>21</v>
      </c>
      <c r="N484" s="1">
        <f>SUM(Table3[[#This Row],[Unit_Price]]-Table3[[#This Row],[Unit_Cost]])</f>
        <v>198.13000000000011</v>
      </c>
      <c r="O484" s="7"/>
      <c r="P484" s="7"/>
      <c r="Q484" s="7"/>
      <c r="S484"/>
    </row>
    <row r="485" spans="1:19" x14ac:dyDescent="0.3">
      <c r="A485" s="1">
        <v>1012</v>
      </c>
      <c r="B485" s="2">
        <v>45055</v>
      </c>
      <c r="C485" s="1" t="s">
        <v>22</v>
      </c>
      <c r="D485" s="1" t="s">
        <v>44</v>
      </c>
      <c r="E485" s="1">
        <v>8070.39</v>
      </c>
      <c r="F485" s="1">
        <v>13</v>
      </c>
      <c r="G485" s="1" t="s">
        <v>24</v>
      </c>
      <c r="H485" s="1">
        <v>1311.01</v>
      </c>
      <c r="I485" s="1">
        <v>1538.79</v>
      </c>
      <c r="J485" s="1" t="s">
        <v>17</v>
      </c>
      <c r="K485" s="1">
        <v>0.09</v>
      </c>
      <c r="L485" s="1" t="s">
        <v>25</v>
      </c>
      <c r="M485" s="1" t="s">
        <v>21</v>
      </c>
      <c r="N485" s="1">
        <f>SUM(Table3[[#This Row],[Unit_Price]]-Table3[[#This Row],[Unit_Cost]])</f>
        <v>227.77999999999997</v>
      </c>
      <c r="O485" s="7"/>
      <c r="P485" s="7"/>
      <c r="Q485" s="7"/>
      <c r="S485"/>
    </row>
    <row r="486" spans="1:19" x14ac:dyDescent="0.3">
      <c r="A486" s="1">
        <v>1001</v>
      </c>
      <c r="B486" s="2">
        <v>45143</v>
      </c>
      <c r="C486" s="1" t="s">
        <v>14</v>
      </c>
      <c r="D486" s="1" t="s">
        <v>45</v>
      </c>
      <c r="E486" s="1">
        <v>8247.5400000000009</v>
      </c>
      <c r="F486" s="1">
        <v>4</v>
      </c>
      <c r="G486" s="1" t="s">
        <v>24</v>
      </c>
      <c r="H486" s="1">
        <v>1791.83</v>
      </c>
      <c r="I486" s="1">
        <v>1871.22</v>
      </c>
      <c r="J486" s="1" t="s">
        <v>17</v>
      </c>
      <c r="K486" s="1">
        <v>0.12</v>
      </c>
      <c r="L486" s="1" t="s">
        <v>25</v>
      </c>
      <c r="M486" s="1" t="s">
        <v>19</v>
      </c>
      <c r="N486" s="1">
        <f>SUM(Table3[[#This Row],[Unit_Price]]-Table3[[#This Row],[Unit_Cost]])</f>
        <v>79.3900000000001</v>
      </c>
      <c r="O486" s="7"/>
      <c r="P486" s="7"/>
      <c r="Q486" s="7"/>
      <c r="S486"/>
    </row>
    <row r="487" spans="1:19" x14ac:dyDescent="0.3">
      <c r="A487" s="1">
        <v>1058</v>
      </c>
      <c r="B487" s="2">
        <v>44987</v>
      </c>
      <c r="C487" s="1" t="s">
        <v>32</v>
      </c>
      <c r="D487" s="1" t="s">
        <v>46</v>
      </c>
      <c r="E487" s="1">
        <v>9333.83</v>
      </c>
      <c r="F487" s="1">
        <v>39</v>
      </c>
      <c r="G487" s="1" t="s">
        <v>24</v>
      </c>
      <c r="H487" s="1">
        <v>3542.8</v>
      </c>
      <c r="I487" s="1">
        <v>3603.02</v>
      </c>
      <c r="J487" s="1" t="s">
        <v>17</v>
      </c>
      <c r="K487" s="1">
        <v>0.26</v>
      </c>
      <c r="L487" s="1" t="s">
        <v>18</v>
      </c>
      <c r="M487" s="1" t="s">
        <v>19</v>
      </c>
      <c r="N487" s="1">
        <f>SUM(Table3[[#This Row],[Unit_Price]]-Table3[[#This Row],[Unit_Cost]])</f>
        <v>60.2199999999998</v>
      </c>
      <c r="O487" s="7"/>
      <c r="P487" s="7"/>
      <c r="Q487" s="7"/>
      <c r="S487"/>
    </row>
    <row r="488" spans="1:19" x14ac:dyDescent="0.3">
      <c r="A488" s="1">
        <v>1001</v>
      </c>
      <c r="B488" s="2">
        <v>45030</v>
      </c>
      <c r="C488" s="1" t="s">
        <v>22</v>
      </c>
      <c r="D488" s="1" t="s">
        <v>47</v>
      </c>
      <c r="E488" s="1">
        <v>5488.11</v>
      </c>
      <c r="F488" s="1">
        <v>2</v>
      </c>
      <c r="G488" s="1" t="s">
        <v>31</v>
      </c>
      <c r="H488" s="1">
        <v>2631.68</v>
      </c>
      <c r="I488" s="1">
        <v>2904.06</v>
      </c>
      <c r="J488" s="1" t="s">
        <v>27</v>
      </c>
      <c r="K488" s="1">
        <v>0.15</v>
      </c>
      <c r="L488" s="1" t="s">
        <v>25</v>
      </c>
      <c r="M488" s="1" t="s">
        <v>19</v>
      </c>
      <c r="N488" s="1">
        <f>SUM(Table3[[#This Row],[Unit_Price]]-Table3[[#This Row],[Unit_Cost]])</f>
        <v>272.38000000000011</v>
      </c>
      <c r="O488" s="7"/>
      <c r="P488" s="7"/>
      <c r="Q488" s="7"/>
      <c r="S488"/>
    </row>
    <row r="489" spans="1:19" x14ac:dyDescent="0.3">
      <c r="A489" s="1">
        <v>1034</v>
      </c>
      <c r="B489" s="2">
        <v>44968</v>
      </c>
      <c r="C489" s="1" t="s">
        <v>32</v>
      </c>
      <c r="D489" s="1" t="s">
        <v>48</v>
      </c>
      <c r="E489" s="1">
        <v>2082.79</v>
      </c>
      <c r="F489" s="1">
        <v>26</v>
      </c>
      <c r="G489" s="1" t="s">
        <v>31</v>
      </c>
      <c r="H489" s="1">
        <v>667</v>
      </c>
      <c r="I489" s="1">
        <v>718.72</v>
      </c>
      <c r="J489" s="1" t="s">
        <v>27</v>
      </c>
      <c r="K489" s="1">
        <v>0.2</v>
      </c>
      <c r="L489" s="1" t="s">
        <v>18</v>
      </c>
      <c r="M489" s="1" t="s">
        <v>21</v>
      </c>
      <c r="N489" s="1">
        <f>SUM(Table3[[#This Row],[Unit_Price]]-Table3[[#This Row],[Unit_Cost]])</f>
        <v>51.720000000000027</v>
      </c>
      <c r="O489" s="7"/>
      <c r="P489" s="7"/>
      <c r="Q489" s="7"/>
      <c r="S489"/>
    </row>
    <row r="490" spans="1:19" x14ac:dyDescent="0.3">
      <c r="A490" s="1">
        <v>1096</v>
      </c>
      <c r="B490" s="2">
        <v>44951</v>
      </c>
      <c r="C490" s="1" t="s">
        <v>29</v>
      </c>
      <c r="D490" s="1" t="s">
        <v>49</v>
      </c>
      <c r="E490" s="1">
        <v>6206.16</v>
      </c>
      <c r="F490" s="1">
        <v>27</v>
      </c>
      <c r="G490" s="1" t="s">
        <v>26</v>
      </c>
      <c r="H490" s="1">
        <v>4809</v>
      </c>
      <c r="I490" s="1">
        <v>4967.4399999999996</v>
      </c>
      <c r="J490" s="1" t="s">
        <v>27</v>
      </c>
      <c r="K490" s="1">
        <v>0.12</v>
      </c>
      <c r="L490" s="1" t="s">
        <v>18</v>
      </c>
      <c r="M490" s="1" t="s">
        <v>19</v>
      </c>
      <c r="N490" s="1">
        <f>SUM(Table3[[#This Row],[Unit_Price]]-Table3[[#This Row],[Unit_Cost]])</f>
        <v>158.4399999999996</v>
      </c>
      <c r="O490" s="7"/>
      <c r="P490" s="7"/>
      <c r="Q490" s="7"/>
      <c r="S490"/>
    </row>
    <row r="491" spans="1:19" x14ac:dyDescent="0.3">
      <c r="A491" s="1">
        <v>1048</v>
      </c>
      <c r="B491" s="2">
        <v>44965</v>
      </c>
      <c r="C491" s="1" t="s">
        <v>29</v>
      </c>
      <c r="D491" s="1" t="s">
        <v>50</v>
      </c>
      <c r="E491" s="1">
        <v>7454.53</v>
      </c>
      <c r="F491" s="1">
        <v>27</v>
      </c>
      <c r="G491" s="1" t="s">
        <v>26</v>
      </c>
      <c r="H491" s="1">
        <v>3197.76</v>
      </c>
      <c r="I491" s="1">
        <v>3572.61</v>
      </c>
      <c r="J491" s="1" t="s">
        <v>17</v>
      </c>
      <c r="K491" s="1">
        <v>0.08</v>
      </c>
      <c r="L491" s="1" t="s">
        <v>28</v>
      </c>
      <c r="M491" s="1" t="s">
        <v>19</v>
      </c>
      <c r="N491" s="1">
        <f>SUM(Table3[[#This Row],[Unit_Price]]-Table3[[#This Row],[Unit_Cost]])</f>
        <v>374.84999999999991</v>
      </c>
      <c r="O491" s="7"/>
      <c r="P491" s="7"/>
      <c r="Q491" s="7"/>
      <c r="S491"/>
    </row>
    <row r="492" spans="1:19" x14ac:dyDescent="0.3">
      <c r="A492" s="1">
        <v>1089</v>
      </c>
      <c r="B492" s="2">
        <v>45217</v>
      </c>
      <c r="C492" s="1" t="s">
        <v>22</v>
      </c>
      <c r="D492" s="1" t="s">
        <v>44</v>
      </c>
      <c r="E492" s="1">
        <v>7405.38</v>
      </c>
      <c r="F492" s="1">
        <v>15</v>
      </c>
      <c r="G492" s="1" t="s">
        <v>24</v>
      </c>
      <c r="H492" s="1">
        <v>3841.05</v>
      </c>
      <c r="I492" s="1">
        <v>4323.62</v>
      </c>
      <c r="J492" s="1" t="s">
        <v>17</v>
      </c>
      <c r="K492" s="1">
        <v>0.28999999999999998</v>
      </c>
      <c r="L492" s="1" t="s">
        <v>28</v>
      </c>
      <c r="M492" s="1" t="s">
        <v>21</v>
      </c>
      <c r="N492" s="1">
        <f>SUM(Table3[[#This Row],[Unit_Price]]-Table3[[#This Row],[Unit_Cost]])</f>
        <v>482.56999999999971</v>
      </c>
      <c r="O492" s="7"/>
      <c r="P492" s="7"/>
      <c r="Q492" s="7"/>
      <c r="S492"/>
    </row>
    <row r="493" spans="1:19" x14ac:dyDescent="0.3">
      <c r="A493" s="1">
        <v>1001</v>
      </c>
      <c r="B493" s="2">
        <v>45057</v>
      </c>
      <c r="C493" s="1" t="s">
        <v>32</v>
      </c>
      <c r="D493" s="1" t="s">
        <v>45</v>
      </c>
      <c r="E493" s="1">
        <v>5262.35</v>
      </c>
      <c r="F493" s="1">
        <v>8</v>
      </c>
      <c r="G493" s="1" t="s">
        <v>26</v>
      </c>
      <c r="H493" s="1">
        <v>442.11</v>
      </c>
      <c r="I493" s="1">
        <v>803.87</v>
      </c>
      <c r="J493" s="1" t="s">
        <v>27</v>
      </c>
      <c r="K493" s="1">
        <v>0.18</v>
      </c>
      <c r="L493" s="1" t="s">
        <v>18</v>
      </c>
      <c r="M493" s="1" t="s">
        <v>21</v>
      </c>
      <c r="N493" s="1">
        <f>SUM(Table3[[#This Row],[Unit_Price]]-Table3[[#This Row],[Unit_Cost]])</f>
        <v>361.76</v>
      </c>
      <c r="O493" s="7"/>
      <c r="P493" s="7"/>
      <c r="Q493" s="7"/>
      <c r="S493"/>
    </row>
    <row r="494" spans="1:19" x14ac:dyDescent="0.3">
      <c r="A494" s="1">
        <v>1016</v>
      </c>
      <c r="B494" s="2">
        <v>45155</v>
      </c>
      <c r="C494" s="1" t="s">
        <v>32</v>
      </c>
      <c r="D494" s="1" t="s">
        <v>46</v>
      </c>
      <c r="E494" s="1">
        <v>777.74</v>
      </c>
      <c r="F494" s="1">
        <v>7</v>
      </c>
      <c r="G494" s="1" t="s">
        <v>24</v>
      </c>
      <c r="H494" s="1">
        <v>282.94</v>
      </c>
      <c r="I494" s="1">
        <v>779.32999999999902</v>
      </c>
      <c r="J494" s="1" t="s">
        <v>17</v>
      </c>
      <c r="K494" s="1">
        <v>0.28000000000000003</v>
      </c>
      <c r="L494" s="1" t="s">
        <v>28</v>
      </c>
      <c r="M494" s="1" t="s">
        <v>19</v>
      </c>
      <c r="N494" s="1">
        <f>SUM(Table3[[#This Row],[Unit_Price]]-Table3[[#This Row],[Unit_Cost]])</f>
        <v>496.38999999999902</v>
      </c>
      <c r="O494" s="7"/>
      <c r="P494" s="7"/>
      <c r="Q494" s="7"/>
      <c r="S494"/>
    </row>
    <row r="495" spans="1:19" x14ac:dyDescent="0.3">
      <c r="A495" s="1">
        <v>1061</v>
      </c>
      <c r="B495" s="2">
        <v>45034</v>
      </c>
      <c r="C495" s="1" t="s">
        <v>32</v>
      </c>
      <c r="D495" s="1" t="s">
        <v>47</v>
      </c>
      <c r="E495" s="1">
        <v>3774.02</v>
      </c>
      <c r="F495" s="1">
        <v>47</v>
      </c>
      <c r="G495" s="1" t="s">
        <v>31</v>
      </c>
      <c r="H495" s="1">
        <v>146.27000000000001</v>
      </c>
      <c r="I495" s="1">
        <v>498.46</v>
      </c>
      <c r="J495" s="1" t="s">
        <v>27</v>
      </c>
      <c r="K495" s="1">
        <v>0.06</v>
      </c>
      <c r="L495" s="1" t="s">
        <v>18</v>
      </c>
      <c r="M495" s="1" t="s">
        <v>21</v>
      </c>
      <c r="N495" s="1">
        <f>SUM(Table3[[#This Row],[Unit_Price]]-Table3[[#This Row],[Unit_Cost]])</f>
        <v>352.18999999999994</v>
      </c>
      <c r="O495" s="7"/>
      <c r="P495" s="7"/>
      <c r="Q495" s="7"/>
      <c r="S495"/>
    </row>
    <row r="496" spans="1:19" x14ac:dyDescent="0.3">
      <c r="A496" s="1">
        <v>1064</v>
      </c>
      <c r="B496" s="2">
        <v>45098</v>
      </c>
      <c r="C496" s="1" t="s">
        <v>14</v>
      </c>
      <c r="D496" s="1" t="s">
        <v>48</v>
      </c>
      <c r="E496" s="1">
        <v>9215.59</v>
      </c>
      <c r="F496" s="1">
        <v>46</v>
      </c>
      <c r="G496" s="1" t="s">
        <v>31</v>
      </c>
      <c r="H496" s="1">
        <v>984.53</v>
      </c>
      <c r="I496" s="1">
        <v>1138.49</v>
      </c>
      <c r="J496" s="1" t="s">
        <v>27</v>
      </c>
      <c r="K496" s="1">
        <v>0.04</v>
      </c>
      <c r="L496" s="1" t="s">
        <v>25</v>
      </c>
      <c r="M496" s="1" t="s">
        <v>19</v>
      </c>
      <c r="N496" s="1">
        <f>SUM(Table3[[#This Row],[Unit_Price]]-Table3[[#This Row],[Unit_Cost]])</f>
        <v>153.96000000000004</v>
      </c>
      <c r="O496" s="7"/>
      <c r="P496" s="7"/>
      <c r="Q496" s="7"/>
      <c r="S496"/>
    </row>
    <row r="497" spans="1:19" x14ac:dyDescent="0.3">
      <c r="A497" s="1">
        <v>1063</v>
      </c>
      <c r="B497" s="2">
        <v>45028</v>
      </c>
      <c r="C497" s="1" t="s">
        <v>29</v>
      </c>
      <c r="D497" s="1" t="s">
        <v>49</v>
      </c>
      <c r="E497" s="1">
        <v>5886.04</v>
      </c>
      <c r="F497" s="1">
        <v>40</v>
      </c>
      <c r="G497" s="1" t="s">
        <v>31</v>
      </c>
      <c r="H497" s="1">
        <v>2101.3200000000002</v>
      </c>
      <c r="I497" s="1">
        <v>2440.63</v>
      </c>
      <c r="J497" s="1" t="s">
        <v>27</v>
      </c>
      <c r="K497" s="1">
        <v>0.26</v>
      </c>
      <c r="L497" s="1" t="s">
        <v>25</v>
      </c>
      <c r="M497" s="1" t="s">
        <v>21</v>
      </c>
      <c r="N497" s="1">
        <f>SUM(Table3[[#This Row],[Unit_Price]]-Table3[[#This Row],[Unit_Cost]])</f>
        <v>339.30999999999995</v>
      </c>
      <c r="O497" s="7"/>
      <c r="P497" s="7"/>
      <c r="Q497" s="7"/>
      <c r="S497"/>
    </row>
    <row r="498" spans="1:19" x14ac:dyDescent="0.3">
      <c r="A498" s="1">
        <v>1069</v>
      </c>
      <c r="B498" s="2">
        <v>45280</v>
      </c>
      <c r="C498" s="1" t="s">
        <v>32</v>
      </c>
      <c r="D498" s="1" t="s">
        <v>50</v>
      </c>
      <c r="E498" s="1">
        <v>5429.49</v>
      </c>
      <c r="F498" s="1">
        <v>12</v>
      </c>
      <c r="G498" s="1" t="s">
        <v>16</v>
      </c>
      <c r="H498" s="1">
        <v>4682.34</v>
      </c>
      <c r="I498" s="1">
        <v>5036.3999999999996</v>
      </c>
      <c r="J498" s="1" t="s">
        <v>27</v>
      </c>
      <c r="K498" s="1">
        <v>0.2</v>
      </c>
      <c r="L498" s="1" t="s">
        <v>25</v>
      </c>
      <c r="M498" s="1" t="s">
        <v>21</v>
      </c>
      <c r="N498" s="1">
        <f>SUM(Table3[[#This Row],[Unit_Price]]-Table3[[#This Row],[Unit_Cost]])</f>
        <v>354.05999999999949</v>
      </c>
      <c r="O498" s="7"/>
      <c r="P498" s="7"/>
      <c r="Q498" s="7"/>
      <c r="S498"/>
    </row>
    <row r="499" spans="1:19" x14ac:dyDescent="0.3">
      <c r="A499" s="1">
        <v>1022</v>
      </c>
      <c r="B499" s="2">
        <v>44938</v>
      </c>
      <c r="C499" s="1" t="s">
        <v>32</v>
      </c>
      <c r="D499" s="1" t="s">
        <v>44</v>
      </c>
      <c r="E499" s="1">
        <v>2761.65</v>
      </c>
      <c r="F499" s="1">
        <v>13</v>
      </c>
      <c r="G499" s="1" t="s">
        <v>24</v>
      </c>
      <c r="H499" s="1">
        <v>2312.4499999999998</v>
      </c>
      <c r="I499" s="1">
        <v>2504.6</v>
      </c>
      <c r="J499" s="1" t="s">
        <v>17</v>
      </c>
      <c r="K499" s="1">
        <v>0.06</v>
      </c>
      <c r="L499" s="1" t="s">
        <v>25</v>
      </c>
      <c r="M499" s="1" t="s">
        <v>19</v>
      </c>
      <c r="N499" s="1">
        <f>SUM(Table3[[#This Row],[Unit_Price]]-Table3[[#This Row],[Unit_Cost]])</f>
        <v>192.15000000000009</v>
      </c>
      <c r="O499" s="7"/>
      <c r="P499" s="7"/>
      <c r="Q499" s="7"/>
      <c r="S499"/>
    </row>
    <row r="500" spans="1:19" x14ac:dyDescent="0.3">
      <c r="A500" s="1">
        <v>1093</v>
      </c>
      <c r="B500" s="2">
        <v>45201</v>
      </c>
      <c r="C500" s="1" t="s">
        <v>14</v>
      </c>
      <c r="D500" s="1" t="s">
        <v>45</v>
      </c>
      <c r="E500" s="1">
        <v>3747.64</v>
      </c>
      <c r="F500" s="1">
        <v>43</v>
      </c>
      <c r="G500" s="1" t="s">
        <v>31</v>
      </c>
      <c r="H500" s="1">
        <v>1486.76</v>
      </c>
      <c r="I500" s="1">
        <v>1505.44</v>
      </c>
      <c r="J500" s="1" t="s">
        <v>27</v>
      </c>
      <c r="K500" s="1">
        <v>0.08</v>
      </c>
      <c r="L500" s="1" t="s">
        <v>18</v>
      </c>
      <c r="M500" s="1" t="s">
        <v>21</v>
      </c>
      <c r="N500" s="1">
        <f>SUM(Table3[[#This Row],[Unit_Price]]-Table3[[#This Row],[Unit_Cost]])</f>
        <v>18.680000000000064</v>
      </c>
      <c r="O500" s="7"/>
      <c r="P500" s="7"/>
      <c r="Q500" s="7"/>
      <c r="S500"/>
    </row>
    <row r="501" spans="1:19" x14ac:dyDescent="0.3">
      <c r="A501" s="1">
        <v>1067</v>
      </c>
      <c r="B501" s="2">
        <v>45027</v>
      </c>
      <c r="C501" s="1" t="s">
        <v>14</v>
      </c>
      <c r="D501" s="1" t="s">
        <v>46</v>
      </c>
      <c r="E501" s="1">
        <v>8963.93</v>
      </c>
      <c r="F501" s="1">
        <v>17</v>
      </c>
      <c r="G501" s="1" t="s">
        <v>24</v>
      </c>
      <c r="H501" s="1">
        <v>2831.58</v>
      </c>
      <c r="I501" s="1">
        <v>3186.15</v>
      </c>
      <c r="J501" s="1" t="s">
        <v>27</v>
      </c>
      <c r="K501" s="1">
        <v>0.24</v>
      </c>
      <c r="L501" s="1" t="s">
        <v>25</v>
      </c>
      <c r="M501" s="1" t="s">
        <v>21</v>
      </c>
      <c r="N501" s="1">
        <f>SUM(Table3[[#This Row],[Unit_Price]]-Table3[[#This Row],[Unit_Cost]])</f>
        <v>354.57000000000016</v>
      </c>
      <c r="O501" s="7"/>
      <c r="P501" s="7"/>
      <c r="Q501" s="7"/>
      <c r="S501"/>
    </row>
    <row r="502" spans="1:19" x14ac:dyDescent="0.3">
      <c r="A502" s="1">
        <v>1076</v>
      </c>
      <c r="B502" s="2">
        <v>44970</v>
      </c>
      <c r="C502" s="1" t="s">
        <v>32</v>
      </c>
      <c r="D502" s="1" t="s">
        <v>47</v>
      </c>
      <c r="E502" s="1">
        <v>6697.98</v>
      </c>
      <c r="F502" s="1">
        <v>17</v>
      </c>
      <c r="G502" s="1" t="s">
        <v>26</v>
      </c>
      <c r="H502" s="1">
        <v>604.08000000000004</v>
      </c>
      <c r="I502" s="1">
        <v>624.71</v>
      </c>
      <c r="J502" s="1" t="s">
        <v>27</v>
      </c>
      <c r="K502" s="1">
        <v>0.14000000000000001</v>
      </c>
      <c r="L502" s="1" t="s">
        <v>25</v>
      </c>
      <c r="M502" s="1" t="s">
        <v>21</v>
      </c>
      <c r="N502" s="1">
        <f>SUM(Table3[[#This Row],[Unit_Price]]-Table3[[#This Row],[Unit_Cost]])</f>
        <v>20.629999999999995</v>
      </c>
      <c r="O502" s="7"/>
      <c r="P502" s="7"/>
      <c r="Q502" s="7"/>
      <c r="S502"/>
    </row>
    <row r="503" spans="1:19" x14ac:dyDescent="0.3">
      <c r="A503" s="1">
        <v>1026</v>
      </c>
      <c r="B503" s="2">
        <v>45231</v>
      </c>
      <c r="C503" s="1" t="s">
        <v>33</v>
      </c>
      <c r="D503" s="1" t="s">
        <v>48</v>
      </c>
      <c r="E503" s="1">
        <v>7895.13</v>
      </c>
      <c r="F503" s="1">
        <v>36</v>
      </c>
      <c r="G503" s="1" t="s">
        <v>26</v>
      </c>
      <c r="H503" s="1">
        <v>3067.05</v>
      </c>
      <c r="I503" s="1">
        <v>3386.33</v>
      </c>
      <c r="J503" s="1" t="s">
        <v>27</v>
      </c>
      <c r="K503" s="1">
        <v>0.2</v>
      </c>
      <c r="L503" s="1" t="s">
        <v>25</v>
      </c>
      <c r="M503" s="1" t="s">
        <v>19</v>
      </c>
      <c r="N503" s="1">
        <f>SUM(Table3[[#This Row],[Unit_Price]]-Table3[[#This Row],[Unit_Cost]])</f>
        <v>319.27999999999975</v>
      </c>
      <c r="O503" s="7"/>
      <c r="P503" s="7"/>
      <c r="Q503" s="7"/>
      <c r="S503"/>
    </row>
    <row r="504" spans="1:19" x14ac:dyDescent="0.3">
      <c r="A504" s="1">
        <v>1016</v>
      </c>
      <c r="B504" s="2">
        <v>44943</v>
      </c>
      <c r="C504" s="1" t="s">
        <v>32</v>
      </c>
      <c r="D504" s="1" t="s">
        <v>49</v>
      </c>
      <c r="E504" s="1">
        <v>4598.0200000000004</v>
      </c>
      <c r="F504" s="1">
        <v>21</v>
      </c>
      <c r="G504" s="1" t="s">
        <v>31</v>
      </c>
      <c r="H504" s="1">
        <v>2863.74</v>
      </c>
      <c r="I504" s="1">
        <v>2953.91</v>
      </c>
      <c r="J504" s="1" t="s">
        <v>27</v>
      </c>
      <c r="K504" s="1">
        <v>0.1</v>
      </c>
      <c r="L504" s="1" t="s">
        <v>25</v>
      </c>
      <c r="M504" s="1" t="s">
        <v>21</v>
      </c>
      <c r="N504" s="1">
        <f>SUM(Table3[[#This Row],[Unit_Price]]-Table3[[#This Row],[Unit_Cost]])</f>
        <v>90.170000000000073</v>
      </c>
      <c r="O504" s="7"/>
      <c r="P504" s="7"/>
      <c r="Q504" s="7"/>
      <c r="S504"/>
    </row>
    <row r="505" spans="1:19" x14ac:dyDescent="0.3">
      <c r="A505" s="1">
        <v>1051</v>
      </c>
      <c r="B505" s="2">
        <v>45256</v>
      </c>
      <c r="C505" s="1" t="s">
        <v>32</v>
      </c>
      <c r="D505" s="1" t="s">
        <v>50</v>
      </c>
      <c r="E505" s="1">
        <v>6339.45</v>
      </c>
      <c r="F505" s="1">
        <v>8</v>
      </c>
      <c r="G505" s="1" t="s">
        <v>24</v>
      </c>
      <c r="H505" s="1">
        <v>3970.37</v>
      </c>
      <c r="I505" s="1">
        <v>4257.5199999999904</v>
      </c>
      <c r="J505" s="1" t="s">
        <v>27</v>
      </c>
      <c r="K505" s="1">
        <v>0.11</v>
      </c>
      <c r="L505" s="1" t="s">
        <v>18</v>
      </c>
      <c r="M505" s="1" t="s">
        <v>21</v>
      </c>
      <c r="N505" s="1">
        <f>SUM(Table3[[#This Row],[Unit_Price]]-Table3[[#This Row],[Unit_Cost]])</f>
        <v>287.14999999999054</v>
      </c>
      <c r="O505" s="7"/>
      <c r="P505" s="7"/>
      <c r="Q505" s="7"/>
      <c r="S505"/>
    </row>
    <row r="506" spans="1:19" x14ac:dyDescent="0.3">
      <c r="A506" s="1">
        <v>1086</v>
      </c>
      <c r="B506" s="2">
        <v>44983</v>
      </c>
      <c r="C506" s="1" t="s">
        <v>14</v>
      </c>
      <c r="D506" s="1" t="s">
        <v>44</v>
      </c>
      <c r="E506" s="1">
        <v>2559</v>
      </c>
      <c r="F506" s="1">
        <v>5</v>
      </c>
      <c r="G506" s="1" t="s">
        <v>31</v>
      </c>
      <c r="H506" s="1">
        <v>4934.1000000000004</v>
      </c>
      <c r="I506" s="1">
        <v>5191.0200000000004</v>
      </c>
      <c r="J506" s="1" t="s">
        <v>27</v>
      </c>
      <c r="K506" s="1">
        <v>0.3</v>
      </c>
      <c r="L506" s="1" t="s">
        <v>25</v>
      </c>
      <c r="M506" s="1" t="s">
        <v>19</v>
      </c>
      <c r="N506" s="1">
        <f>SUM(Table3[[#This Row],[Unit_Price]]-Table3[[#This Row],[Unit_Cost]])</f>
        <v>256.92000000000007</v>
      </c>
      <c r="O506" s="7"/>
      <c r="P506" s="7"/>
      <c r="Q506" s="7"/>
      <c r="S506"/>
    </row>
    <row r="507" spans="1:19" x14ac:dyDescent="0.3">
      <c r="A507" s="1">
        <v>1057</v>
      </c>
      <c r="B507" s="2">
        <v>45237</v>
      </c>
      <c r="C507" s="1" t="s">
        <v>14</v>
      </c>
      <c r="D507" s="1" t="s">
        <v>45</v>
      </c>
      <c r="E507" s="1">
        <v>7084.06</v>
      </c>
      <c r="F507" s="1">
        <v>26</v>
      </c>
      <c r="G507" s="1" t="s">
        <v>26</v>
      </c>
      <c r="H507" s="1">
        <v>1291.82</v>
      </c>
      <c r="I507" s="1">
        <v>1308.4399999999901</v>
      </c>
      <c r="J507" s="1" t="s">
        <v>17</v>
      </c>
      <c r="K507" s="1">
        <v>7.0000000000000007E-2</v>
      </c>
      <c r="L507" s="1" t="s">
        <v>28</v>
      </c>
      <c r="M507" s="1" t="s">
        <v>19</v>
      </c>
      <c r="N507" s="1">
        <f>SUM(Table3[[#This Row],[Unit_Price]]-Table3[[#This Row],[Unit_Cost]])</f>
        <v>16.619999999990114</v>
      </c>
      <c r="O507" s="7"/>
      <c r="P507" s="7"/>
      <c r="Q507" s="7"/>
      <c r="S507"/>
    </row>
    <row r="508" spans="1:19" x14ac:dyDescent="0.3">
      <c r="A508" s="1">
        <v>1029</v>
      </c>
      <c r="B508" s="2">
        <v>45229</v>
      </c>
      <c r="C508" s="1" t="s">
        <v>32</v>
      </c>
      <c r="D508" s="1" t="s">
        <v>46</v>
      </c>
      <c r="E508" s="1">
        <v>4333.25</v>
      </c>
      <c r="F508" s="1">
        <v>16</v>
      </c>
      <c r="G508" s="1" t="s">
        <v>31</v>
      </c>
      <c r="H508" s="1">
        <v>2572.8000000000002</v>
      </c>
      <c r="I508" s="1">
        <v>2760.6</v>
      </c>
      <c r="J508" s="1" t="s">
        <v>17</v>
      </c>
      <c r="K508" s="1">
        <v>0.15</v>
      </c>
      <c r="L508" s="1" t="s">
        <v>28</v>
      </c>
      <c r="M508" s="1" t="s">
        <v>21</v>
      </c>
      <c r="N508" s="1">
        <f>SUM(Table3[[#This Row],[Unit_Price]]-Table3[[#This Row],[Unit_Cost]])</f>
        <v>187.79999999999973</v>
      </c>
      <c r="O508" s="7"/>
      <c r="P508" s="7"/>
      <c r="Q508" s="7"/>
      <c r="S508"/>
    </row>
    <row r="509" spans="1:19" x14ac:dyDescent="0.3">
      <c r="A509" s="1">
        <v>1078</v>
      </c>
      <c r="B509" s="2">
        <v>44938</v>
      </c>
      <c r="C509" s="1" t="s">
        <v>32</v>
      </c>
      <c r="D509" s="1" t="s">
        <v>47</v>
      </c>
      <c r="E509" s="1">
        <v>4481.2</v>
      </c>
      <c r="F509" s="1">
        <v>36</v>
      </c>
      <c r="G509" s="1" t="s">
        <v>24</v>
      </c>
      <c r="H509" s="1">
        <v>4548.88</v>
      </c>
      <c r="I509" s="1">
        <v>4853.41</v>
      </c>
      <c r="J509" s="1" t="s">
        <v>17</v>
      </c>
      <c r="K509" s="1">
        <v>0.25</v>
      </c>
      <c r="L509" s="1" t="s">
        <v>28</v>
      </c>
      <c r="M509" s="1" t="s">
        <v>21</v>
      </c>
      <c r="N509" s="1">
        <f>SUM(Table3[[#This Row],[Unit_Price]]-Table3[[#This Row],[Unit_Cost]])</f>
        <v>304.52999999999975</v>
      </c>
      <c r="O509" s="7"/>
      <c r="P509" s="7"/>
      <c r="Q509" s="7"/>
      <c r="S509"/>
    </row>
    <row r="510" spans="1:19" x14ac:dyDescent="0.3">
      <c r="A510" s="1">
        <v>1092</v>
      </c>
      <c r="B510" s="2">
        <v>45244</v>
      </c>
      <c r="C510" s="1" t="s">
        <v>32</v>
      </c>
      <c r="D510" s="1" t="s">
        <v>48</v>
      </c>
      <c r="E510" s="1">
        <v>6528.29</v>
      </c>
      <c r="F510" s="1">
        <v>28</v>
      </c>
      <c r="G510" s="1" t="s">
        <v>26</v>
      </c>
      <c r="H510" s="1">
        <v>3936.69</v>
      </c>
      <c r="I510" s="1">
        <v>4362.51</v>
      </c>
      <c r="J510" s="1" t="s">
        <v>17</v>
      </c>
      <c r="K510" s="1">
        <v>7.0000000000000007E-2</v>
      </c>
      <c r="L510" s="1" t="s">
        <v>28</v>
      </c>
      <c r="M510" s="1" t="s">
        <v>21</v>
      </c>
      <c r="N510" s="1">
        <f>SUM(Table3[[#This Row],[Unit_Price]]-Table3[[#This Row],[Unit_Cost]])</f>
        <v>425.82000000000016</v>
      </c>
      <c r="O510" s="7"/>
      <c r="P510" s="7"/>
      <c r="Q510" s="7"/>
      <c r="S510"/>
    </row>
    <row r="511" spans="1:19" x14ac:dyDescent="0.3">
      <c r="A511" s="1">
        <v>1069</v>
      </c>
      <c r="B511" s="2">
        <v>45006</v>
      </c>
      <c r="C511" s="1" t="s">
        <v>14</v>
      </c>
      <c r="D511" s="1" t="s">
        <v>49</v>
      </c>
      <c r="E511" s="1">
        <v>9369.18</v>
      </c>
      <c r="F511" s="1">
        <v>29</v>
      </c>
      <c r="G511" s="1" t="s">
        <v>16</v>
      </c>
      <c r="H511" s="1">
        <v>2462.66</v>
      </c>
      <c r="I511" s="1">
        <v>2908.0899999999901</v>
      </c>
      <c r="J511" s="1" t="s">
        <v>27</v>
      </c>
      <c r="K511" s="1">
        <v>0.12</v>
      </c>
      <c r="L511" s="1" t="s">
        <v>28</v>
      </c>
      <c r="M511" s="1" t="s">
        <v>19</v>
      </c>
      <c r="N511" s="1">
        <f>SUM(Table3[[#This Row],[Unit_Price]]-Table3[[#This Row],[Unit_Cost]])</f>
        <v>445.42999999999029</v>
      </c>
      <c r="O511" s="7"/>
      <c r="P511" s="7"/>
      <c r="Q511" s="7"/>
      <c r="S511"/>
    </row>
    <row r="512" spans="1:19" x14ac:dyDescent="0.3">
      <c r="A512" s="1">
        <v>1047</v>
      </c>
      <c r="B512" s="2">
        <v>45142</v>
      </c>
      <c r="C512" s="1" t="s">
        <v>32</v>
      </c>
      <c r="D512" s="1" t="s">
        <v>50</v>
      </c>
      <c r="E512" s="1">
        <v>733.66</v>
      </c>
      <c r="F512" s="1">
        <v>47</v>
      </c>
      <c r="G512" s="1" t="s">
        <v>26</v>
      </c>
      <c r="H512" s="1">
        <v>4729.59</v>
      </c>
      <c r="I512" s="1">
        <v>4976.68</v>
      </c>
      <c r="J512" s="1" t="s">
        <v>17</v>
      </c>
      <c r="K512" s="1">
        <v>0.18</v>
      </c>
      <c r="L512" s="1" t="s">
        <v>28</v>
      </c>
      <c r="M512" s="1" t="s">
        <v>21</v>
      </c>
      <c r="N512" s="1">
        <f>SUM(Table3[[#This Row],[Unit_Price]]-Table3[[#This Row],[Unit_Cost]])</f>
        <v>247.09000000000015</v>
      </c>
      <c r="O512" s="7"/>
      <c r="P512" s="7"/>
      <c r="Q512" s="7"/>
      <c r="S512"/>
    </row>
    <row r="513" spans="1:19" x14ac:dyDescent="0.3">
      <c r="A513" s="1">
        <v>1094</v>
      </c>
      <c r="B513" s="2">
        <v>45265</v>
      </c>
      <c r="C513" s="1" t="s">
        <v>32</v>
      </c>
      <c r="D513" s="1" t="s">
        <v>44</v>
      </c>
      <c r="E513" s="1">
        <v>8264.9599999999991</v>
      </c>
      <c r="F513" s="1">
        <v>12</v>
      </c>
      <c r="G513" s="1" t="s">
        <v>16</v>
      </c>
      <c r="H513" s="1">
        <v>333.32</v>
      </c>
      <c r="I513" s="1">
        <v>700.25</v>
      </c>
      <c r="J513" s="1" t="s">
        <v>17</v>
      </c>
      <c r="K513" s="1">
        <v>0.14000000000000001</v>
      </c>
      <c r="L513" s="1" t="s">
        <v>18</v>
      </c>
      <c r="M513" s="1" t="s">
        <v>19</v>
      </c>
      <c r="N513" s="1">
        <f>SUM(Table3[[#This Row],[Unit_Price]]-Table3[[#This Row],[Unit_Cost]])</f>
        <v>366.93</v>
      </c>
      <c r="O513" s="7"/>
      <c r="P513" s="7"/>
      <c r="Q513" s="7"/>
      <c r="S513"/>
    </row>
    <row r="514" spans="1:19" x14ac:dyDescent="0.3">
      <c r="A514" s="1">
        <v>1062</v>
      </c>
      <c r="B514" s="2">
        <v>45190</v>
      </c>
      <c r="C514" s="1" t="s">
        <v>22</v>
      </c>
      <c r="D514" s="1" t="s">
        <v>45</v>
      </c>
      <c r="E514" s="1">
        <v>2994.59</v>
      </c>
      <c r="F514" s="1">
        <v>37</v>
      </c>
      <c r="G514" s="1" t="s">
        <v>31</v>
      </c>
      <c r="H514" s="1">
        <v>4658.4399999999996</v>
      </c>
      <c r="I514" s="1">
        <v>4823.5</v>
      </c>
      <c r="J514" s="1" t="s">
        <v>17</v>
      </c>
      <c r="K514" s="1">
        <v>0.14000000000000001</v>
      </c>
      <c r="L514" s="1" t="s">
        <v>28</v>
      </c>
      <c r="M514" s="1" t="s">
        <v>19</v>
      </c>
      <c r="N514" s="1">
        <f>SUM(Table3[[#This Row],[Unit_Price]]-Table3[[#This Row],[Unit_Cost]])</f>
        <v>165.0600000000004</v>
      </c>
      <c r="O514" s="7"/>
      <c r="P514" s="7"/>
      <c r="Q514" s="7"/>
      <c r="S514"/>
    </row>
    <row r="515" spans="1:19" x14ac:dyDescent="0.3">
      <c r="A515" s="1">
        <v>1069</v>
      </c>
      <c r="B515" s="2">
        <v>45075</v>
      </c>
      <c r="C515" s="1" t="s">
        <v>33</v>
      </c>
      <c r="D515" s="1" t="s">
        <v>46</v>
      </c>
      <c r="E515" s="1">
        <v>4494.8</v>
      </c>
      <c r="F515" s="1">
        <v>30</v>
      </c>
      <c r="G515" s="1" t="s">
        <v>31</v>
      </c>
      <c r="H515" s="1">
        <v>300.01</v>
      </c>
      <c r="I515" s="1">
        <v>477.67999999999898</v>
      </c>
      <c r="J515" s="1" t="s">
        <v>27</v>
      </c>
      <c r="K515" s="1">
        <v>0.11</v>
      </c>
      <c r="L515" s="1" t="s">
        <v>25</v>
      </c>
      <c r="M515" s="1" t="s">
        <v>21</v>
      </c>
      <c r="N515" s="1">
        <f>SUM(Table3[[#This Row],[Unit_Price]]-Table3[[#This Row],[Unit_Cost]])</f>
        <v>177.66999999999899</v>
      </c>
      <c r="O515" s="7"/>
      <c r="P515" s="7"/>
      <c r="Q515" s="7"/>
      <c r="S515"/>
    </row>
    <row r="516" spans="1:19" x14ac:dyDescent="0.3">
      <c r="A516" s="1">
        <v>1076</v>
      </c>
      <c r="B516" s="2">
        <v>45007</v>
      </c>
      <c r="C516" s="1" t="s">
        <v>29</v>
      </c>
      <c r="D516" s="1" t="s">
        <v>47</v>
      </c>
      <c r="E516" s="1">
        <v>316.94</v>
      </c>
      <c r="F516" s="1">
        <v>23</v>
      </c>
      <c r="G516" s="1" t="s">
        <v>24</v>
      </c>
      <c r="H516" s="1">
        <v>2759.16</v>
      </c>
      <c r="I516" s="1">
        <v>2864.45</v>
      </c>
      <c r="J516" s="1" t="s">
        <v>17</v>
      </c>
      <c r="K516" s="1">
        <v>0.18</v>
      </c>
      <c r="L516" s="1" t="s">
        <v>28</v>
      </c>
      <c r="M516" s="1" t="s">
        <v>21</v>
      </c>
      <c r="N516" s="1">
        <f>SUM(Table3[[#This Row],[Unit_Price]]-Table3[[#This Row],[Unit_Cost]])</f>
        <v>105.28999999999996</v>
      </c>
      <c r="O516" s="7"/>
      <c r="P516" s="7"/>
      <c r="Q516" s="7"/>
      <c r="S516"/>
    </row>
    <row r="517" spans="1:19" x14ac:dyDescent="0.3">
      <c r="A517" s="1">
        <v>1016</v>
      </c>
      <c r="B517" s="2">
        <v>45141</v>
      </c>
      <c r="C517" s="1" t="s">
        <v>33</v>
      </c>
      <c r="D517" s="1" t="s">
        <v>48</v>
      </c>
      <c r="E517" s="1">
        <v>3080.36</v>
      </c>
      <c r="F517" s="1">
        <v>16</v>
      </c>
      <c r="G517" s="1" t="s">
        <v>16</v>
      </c>
      <c r="H517" s="1">
        <v>4457.68</v>
      </c>
      <c r="I517" s="1">
        <v>4743.03</v>
      </c>
      <c r="J517" s="1" t="s">
        <v>17</v>
      </c>
      <c r="K517" s="1">
        <v>0.19</v>
      </c>
      <c r="L517" s="1" t="s">
        <v>18</v>
      </c>
      <c r="M517" s="1" t="s">
        <v>19</v>
      </c>
      <c r="N517" s="1">
        <f>SUM(Table3[[#This Row],[Unit_Price]]-Table3[[#This Row],[Unit_Cost]])</f>
        <v>285.34999999999945</v>
      </c>
      <c r="O517" s="7"/>
      <c r="P517" s="7"/>
      <c r="Q517" s="7"/>
      <c r="S517"/>
    </row>
    <row r="518" spans="1:19" x14ac:dyDescent="0.3">
      <c r="A518" s="1">
        <v>1090</v>
      </c>
      <c r="B518" s="2">
        <v>45124</v>
      </c>
      <c r="C518" s="1" t="s">
        <v>22</v>
      </c>
      <c r="D518" s="1" t="s">
        <v>49</v>
      </c>
      <c r="E518" s="1">
        <v>5076.05</v>
      </c>
      <c r="F518" s="1">
        <v>14</v>
      </c>
      <c r="G518" s="1" t="s">
        <v>31</v>
      </c>
      <c r="H518" s="1">
        <v>1350.47</v>
      </c>
      <c r="I518" s="1">
        <v>1514.61</v>
      </c>
      <c r="J518" s="1" t="s">
        <v>27</v>
      </c>
      <c r="K518" s="1">
        <v>0.2</v>
      </c>
      <c r="L518" s="1" t="s">
        <v>28</v>
      </c>
      <c r="M518" s="1" t="s">
        <v>21</v>
      </c>
      <c r="N518" s="1">
        <f>SUM(Table3[[#This Row],[Unit_Price]]-Table3[[#This Row],[Unit_Cost]])</f>
        <v>164.13999999999987</v>
      </c>
      <c r="O518" s="7"/>
      <c r="P518" s="7"/>
      <c r="Q518" s="7"/>
      <c r="S518"/>
    </row>
    <row r="519" spans="1:19" x14ac:dyDescent="0.3">
      <c r="A519" s="1">
        <v>1090</v>
      </c>
      <c r="B519" s="2">
        <v>45126</v>
      </c>
      <c r="C519" s="1" t="s">
        <v>29</v>
      </c>
      <c r="D519" s="1" t="s">
        <v>50</v>
      </c>
      <c r="E519" s="1">
        <v>656.14</v>
      </c>
      <c r="F519" s="1">
        <v>10</v>
      </c>
      <c r="G519" s="1" t="s">
        <v>16</v>
      </c>
      <c r="H519" s="1">
        <v>2387.63</v>
      </c>
      <c r="I519" s="1">
        <v>2438.9699999999998</v>
      </c>
      <c r="J519" s="1" t="s">
        <v>17</v>
      </c>
      <c r="K519" s="1">
        <v>0.02</v>
      </c>
      <c r="L519" s="1" t="s">
        <v>25</v>
      </c>
      <c r="M519" s="1" t="s">
        <v>21</v>
      </c>
      <c r="N519" s="1">
        <f>SUM(Table3[[#This Row],[Unit_Price]]-Table3[[#This Row],[Unit_Cost]])</f>
        <v>51.339999999999691</v>
      </c>
      <c r="O519" s="7"/>
      <c r="P519" s="7"/>
      <c r="Q519" s="7"/>
      <c r="S519"/>
    </row>
    <row r="520" spans="1:19" x14ac:dyDescent="0.3">
      <c r="A520" s="1">
        <v>1048</v>
      </c>
      <c r="B520" s="2">
        <v>44951</v>
      </c>
      <c r="C520" s="1" t="s">
        <v>32</v>
      </c>
      <c r="D520" s="1" t="s">
        <v>44</v>
      </c>
      <c r="E520" s="1">
        <v>4961.8500000000004</v>
      </c>
      <c r="F520" s="1">
        <v>7</v>
      </c>
      <c r="G520" s="1" t="s">
        <v>31</v>
      </c>
      <c r="H520" s="1">
        <v>1655.43</v>
      </c>
      <c r="I520" s="1">
        <v>2001.08</v>
      </c>
      <c r="J520" s="1" t="s">
        <v>27</v>
      </c>
      <c r="K520" s="1">
        <v>0.19</v>
      </c>
      <c r="L520" s="1" t="s">
        <v>25</v>
      </c>
      <c r="M520" s="1" t="s">
        <v>19</v>
      </c>
      <c r="N520" s="1">
        <f>SUM(Table3[[#This Row],[Unit_Price]]-Table3[[#This Row],[Unit_Cost]])</f>
        <v>345.64999999999986</v>
      </c>
      <c r="O520" s="7"/>
      <c r="P520" s="7"/>
      <c r="Q520" s="7"/>
      <c r="S520"/>
    </row>
    <row r="521" spans="1:19" x14ac:dyDescent="0.3">
      <c r="A521" s="1">
        <v>1085</v>
      </c>
      <c r="B521" s="2">
        <v>45015</v>
      </c>
      <c r="C521" s="1" t="s">
        <v>22</v>
      </c>
      <c r="D521" s="1" t="s">
        <v>45</v>
      </c>
      <c r="E521" s="1">
        <v>9278.4</v>
      </c>
      <c r="F521" s="1">
        <v>45</v>
      </c>
      <c r="G521" s="1" t="s">
        <v>26</v>
      </c>
      <c r="H521" s="1">
        <v>4763.1099999999997</v>
      </c>
      <c r="I521" s="1">
        <v>5119.91</v>
      </c>
      <c r="J521" s="1" t="s">
        <v>17</v>
      </c>
      <c r="K521" s="1">
        <v>0.28999999999999998</v>
      </c>
      <c r="L521" s="1" t="s">
        <v>18</v>
      </c>
      <c r="M521" s="1" t="s">
        <v>21</v>
      </c>
      <c r="N521" s="1">
        <f>SUM(Table3[[#This Row],[Unit_Price]]-Table3[[#This Row],[Unit_Cost]])</f>
        <v>356.80000000000018</v>
      </c>
      <c r="O521" s="7"/>
      <c r="P521" s="7"/>
      <c r="Q521" s="7"/>
      <c r="S521"/>
    </row>
    <row r="522" spans="1:19" x14ac:dyDescent="0.3">
      <c r="A522" s="1">
        <v>1039</v>
      </c>
      <c r="B522" s="2">
        <v>45194</v>
      </c>
      <c r="C522" s="1" t="s">
        <v>32</v>
      </c>
      <c r="D522" s="1" t="s">
        <v>46</v>
      </c>
      <c r="E522" s="1">
        <v>1143.3900000000001</v>
      </c>
      <c r="F522" s="1">
        <v>37</v>
      </c>
      <c r="G522" s="1" t="s">
        <v>31</v>
      </c>
      <c r="H522" s="1">
        <v>4127.05</v>
      </c>
      <c r="I522" s="1">
        <v>4313.45</v>
      </c>
      <c r="J522" s="1" t="s">
        <v>27</v>
      </c>
      <c r="K522" s="1">
        <v>0.16</v>
      </c>
      <c r="L522" s="1" t="s">
        <v>18</v>
      </c>
      <c r="M522" s="1" t="s">
        <v>19</v>
      </c>
      <c r="N522" s="1">
        <f>SUM(Table3[[#This Row],[Unit_Price]]-Table3[[#This Row],[Unit_Cost]])</f>
        <v>186.39999999999964</v>
      </c>
      <c r="O522" s="7"/>
      <c r="P522" s="7"/>
      <c r="Q522" s="7"/>
      <c r="S522"/>
    </row>
    <row r="523" spans="1:19" x14ac:dyDescent="0.3">
      <c r="A523" s="1">
        <v>1100</v>
      </c>
      <c r="B523" s="2">
        <v>45069</v>
      </c>
      <c r="C523" s="1" t="s">
        <v>14</v>
      </c>
      <c r="D523" s="1" t="s">
        <v>47</v>
      </c>
      <c r="E523" s="1">
        <v>7667.96</v>
      </c>
      <c r="F523" s="1">
        <v>29</v>
      </c>
      <c r="G523" s="1" t="s">
        <v>24</v>
      </c>
      <c r="H523" s="1">
        <v>3559.56</v>
      </c>
      <c r="I523" s="1">
        <v>3607.15</v>
      </c>
      <c r="J523" s="1" t="s">
        <v>17</v>
      </c>
      <c r="K523" s="1">
        <v>0.21</v>
      </c>
      <c r="L523" s="1" t="s">
        <v>18</v>
      </c>
      <c r="M523" s="1" t="s">
        <v>21</v>
      </c>
      <c r="N523" s="1">
        <f>SUM(Table3[[#This Row],[Unit_Price]]-Table3[[#This Row],[Unit_Cost]])</f>
        <v>47.590000000000146</v>
      </c>
      <c r="O523" s="7"/>
      <c r="P523" s="7"/>
      <c r="Q523" s="7"/>
      <c r="S523"/>
    </row>
    <row r="524" spans="1:19" x14ac:dyDescent="0.3">
      <c r="A524" s="1">
        <v>1033</v>
      </c>
      <c r="B524" s="2">
        <v>44985</v>
      </c>
      <c r="C524" s="1" t="s">
        <v>22</v>
      </c>
      <c r="D524" s="1" t="s">
        <v>48</v>
      </c>
      <c r="E524" s="1">
        <v>4155.74</v>
      </c>
      <c r="F524" s="1">
        <v>3</v>
      </c>
      <c r="G524" s="1" t="s">
        <v>26</v>
      </c>
      <c r="H524" s="1">
        <v>2958.75</v>
      </c>
      <c r="I524" s="1">
        <v>3177.64</v>
      </c>
      <c r="J524" s="1" t="s">
        <v>17</v>
      </c>
      <c r="K524" s="1">
        <v>0.17</v>
      </c>
      <c r="L524" s="1" t="s">
        <v>18</v>
      </c>
      <c r="M524" s="1" t="s">
        <v>19</v>
      </c>
      <c r="N524" s="1">
        <f>SUM(Table3[[#This Row],[Unit_Price]]-Table3[[#This Row],[Unit_Cost]])</f>
        <v>218.88999999999987</v>
      </c>
      <c r="O524" s="7"/>
      <c r="P524" s="7"/>
      <c r="Q524" s="7"/>
      <c r="S524"/>
    </row>
    <row r="525" spans="1:19" x14ac:dyDescent="0.3">
      <c r="A525" s="1">
        <v>1094</v>
      </c>
      <c r="B525" s="2">
        <v>45291</v>
      </c>
      <c r="C525" s="1" t="s">
        <v>14</v>
      </c>
      <c r="D525" s="1" t="s">
        <v>49</v>
      </c>
      <c r="E525" s="1">
        <v>6586.22</v>
      </c>
      <c r="F525" s="1">
        <v>15</v>
      </c>
      <c r="G525" s="1" t="s">
        <v>24</v>
      </c>
      <c r="H525" s="1">
        <v>4111.93</v>
      </c>
      <c r="I525" s="1">
        <v>4338.67</v>
      </c>
      <c r="J525" s="1" t="s">
        <v>17</v>
      </c>
      <c r="K525" s="1">
        <v>0.26</v>
      </c>
      <c r="L525" s="1" t="s">
        <v>28</v>
      </c>
      <c r="M525" s="1" t="s">
        <v>19</v>
      </c>
      <c r="N525" s="1">
        <f>SUM(Table3[[#This Row],[Unit_Price]]-Table3[[#This Row],[Unit_Cost]])</f>
        <v>226.73999999999978</v>
      </c>
      <c r="O525" s="7"/>
      <c r="P525" s="7"/>
      <c r="Q525" s="7"/>
      <c r="S525"/>
    </row>
    <row r="526" spans="1:19" x14ac:dyDescent="0.3">
      <c r="A526" s="1">
        <v>1023</v>
      </c>
      <c r="B526" s="2">
        <v>44952</v>
      </c>
      <c r="C526" s="1" t="s">
        <v>22</v>
      </c>
      <c r="D526" s="1" t="s">
        <v>50</v>
      </c>
      <c r="E526" s="1">
        <v>2676.34</v>
      </c>
      <c r="F526" s="1">
        <v>36</v>
      </c>
      <c r="G526" s="1" t="s">
        <v>26</v>
      </c>
      <c r="H526" s="1">
        <v>1991.72</v>
      </c>
      <c r="I526" s="1">
        <v>2329.37</v>
      </c>
      <c r="J526" s="1" t="s">
        <v>27</v>
      </c>
      <c r="K526" s="1">
        <v>0.28000000000000003</v>
      </c>
      <c r="L526" s="1" t="s">
        <v>28</v>
      </c>
      <c r="M526" s="1" t="s">
        <v>21</v>
      </c>
      <c r="N526" s="1">
        <f>SUM(Table3[[#This Row],[Unit_Price]]-Table3[[#This Row],[Unit_Cost]])</f>
        <v>337.64999999999986</v>
      </c>
      <c r="O526" s="7"/>
      <c r="P526" s="7"/>
      <c r="Q526" s="7"/>
      <c r="S526"/>
    </row>
    <row r="527" spans="1:19" x14ac:dyDescent="0.3">
      <c r="A527" s="1">
        <v>1010</v>
      </c>
      <c r="B527" s="2">
        <v>44973</v>
      </c>
      <c r="C527" s="1" t="s">
        <v>22</v>
      </c>
      <c r="D527" s="1" t="s">
        <v>44</v>
      </c>
      <c r="E527" s="1">
        <v>1678.97</v>
      </c>
      <c r="F527" s="1">
        <v>47</v>
      </c>
      <c r="G527" s="1" t="s">
        <v>16</v>
      </c>
      <c r="H527" s="1">
        <v>2265.38</v>
      </c>
      <c r="I527" s="1">
        <v>2429.9299999999998</v>
      </c>
      <c r="J527" s="1" t="s">
        <v>17</v>
      </c>
      <c r="K527" s="1">
        <v>0.06</v>
      </c>
      <c r="L527" s="1" t="s">
        <v>25</v>
      </c>
      <c r="M527" s="1" t="s">
        <v>19</v>
      </c>
      <c r="N527" s="1">
        <f>SUM(Table3[[#This Row],[Unit_Price]]-Table3[[#This Row],[Unit_Cost]])</f>
        <v>164.54999999999973</v>
      </c>
      <c r="O527" s="7"/>
      <c r="P527" s="7"/>
      <c r="Q527" s="7"/>
      <c r="S527"/>
    </row>
    <row r="528" spans="1:19" x14ac:dyDescent="0.3">
      <c r="A528" s="1">
        <v>1069</v>
      </c>
      <c r="B528" s="2">
        <v>45214</v>
      </c>
      <c r="C528" s="1" t="s">
        <v>14</v>
      </c>
      <c r="D528" s="1" t="s">
        <v>45</v>
      </c>
      <c r="E528" s="1">
        <v>1688.58</v>
      </c>
      <c r="F528" s="1">
        <v>46</v>
      </c>
      <c r="G528" s="1" t="s">
        <v>24</v>
      </c>
      <c r="H528" s="1">
        <v>3663.51</v>
      </c>
      <c r="I528" s="1">
        <v>4007.98</v>
      </c>
      <c r="J528" s="1" t="s">
        <v>27</v>
      </c>
      <c r="K528" s="1">
        <v>0.13</v>
      </c>
      <c r="L528" s="1" t="s">
        <v>18</v>
      </c>
      <c r="M528" s="1" t="s">
        <v>19</v>
      </c>
      <c r="N528" s="1">
        <f>SUM(Table3[[#This Row],[Unit_Price]]-Table3[[#This Row],[Unit_Cost]])</f>
        <v>344.4699999999998</v>
      </c>
      <c r="O528" s="7"/>
      <c r="P528" s="7"/>
      <c r="Q528" s="7"/>
      <c r="S528"/>
    </row>
    <row r="529" spans="1:19" x14ac:dyDescent="0.3">
      <c r="A529" s="1">
        <v>1100</v>
      </c>
      <c r="B529" s="2">
        <v>45192</v>
      </c>
      <c r="C529" s="1" t="s">
        <v>29</v>
      </c>
      <c r="D529" s="1" t="s">
        <v>46</v>
      </c>
      <c r="E529" s="1">
        <v>797.87</v>
      </c>
      <c r="F529" s="1">
        <v>19</v>
      </c>
      <c r="G529" s="1" t="s">
        <v>31</v>
      </c>
      <c r="H529" s="1">
        <v>1820.89</v>
      </c>
      <c r="I529" s="1">
        <v>2257.92</v>
      </c>
      <c r="J529" s="1" t="s">
        <v>27</v>
      </c>
      <c r="K529" s="1">
        <v>0.12</v>
      </c>
      <c r="L529" s="1" t="s">
        <v>18</v>
      </c>
      <c r="M529" s="1" t="s">
        <v>21</v>
      </c>
      <c r="N529" s="1">
        <f>SUM(Table3[[#This Row],[Unit_Price]]-Table3[[#This Row],[Unit_Cost]])</f>
        <v>437.03</v>
      </c>
      <c r="O529" s="7"/>
      <c r="P529" s="7"/>
      <c r="Q529" s="7"/>
      <c r="S529"/>
    </row>
    <row r="530" spans="1:19" x14ac:dyDescent="0.3">
      <c r="A530" s="1">
        <v>1034</v>
      </c>
      <c r="B530" s="2">
        <v>44942</v>
      </c>
      <c r="C530" s="1" t="s">
        <v>33</v>
      </c>
      <c r="D530" s="1" t="s">
        <v>47</v>
      </c>
      <c r="E530" s="1">
        <v>1937.9</v>
      </c>
      <c r="F530" s="1">
        <v>13</v>
      </c>
      <c r="G530" s="1" t="s">
        <v>16</v>
      </c>
      <c r="H530" s="1">
        <v>366.31</v>
      </c>
      <c r="I530" s="1">
        <v>492.68</v>
      </c>
      <c r="J530" s="1" t="s">
        <v>27</v>
      </c>
      <c r="K530" s="1">
        <v>0.12</v>
      </c>
      <c r="L530" s="1" t="s">
        <v>28</v>
      </c>
      <c r="M530" s="1" t="s">
        <v>21</v>
      </c>
      <c r="N530" s="1">
        <f>SUM(Table3[[#This Row],[Unit_Price]]-Table3[[#This Row],[Unit_Cost]])</f>
        <v>126.37</v>
      </c>
      <c r="O530" s="7"/>
      <c r="P530" s="7"/>
      <c r="Q530" s="7"/>
      <c r="S530"/>
    </row>
    <row r="531" spans="1:19" x14ac:dyDescent="0.3">
      <c r="A531" s="1">
        <v>1052</v>
      </c>
      <c r="B531" s="2">
        <v>45125</v>
      </c>
      <c r="C531" s="1" t="s">
        <v>32</v>
      </c>
      <c r="D531" s="1" t="s">
        <v>48</v>
      </c>
      <c r="E531" s="1">
        <v>6675.77</v>
      </c>
      <c r="F531" s="1">
        <v>42</v>
      </c>
      <c r="G531" s="1" t="s">
        <v>31</v>
      </c>
      <c r="H531" s="1">
        <v>417.96</v>
      </c>
      <c r="I531" s="1">
        <v>907.63</v>
      </c>
      <c r="J531" s="1" t="s">
        <v>27</v>
      </c>
      <c r="K531" s="1">
        <v>0.04</v>
      </c>
      <c r="L531" s="1" t="s">
        <v>18</v>
      </c>
      <c r="M531" s="1" t="s">
        <v>21</v>
      </c>
      <c r="N531" s="1">
        <f>SUM(Table3[[#This Row],[Unit_Price]]-Table3[[#This Row],[Unit_Cost]])</f>
        <v>489.67</v>
      </c>
      <c r="O531" s="7"/>
      <c r="P531" s="7"/>
      <c r="Q531" s="7"/>
      <c r="S531"/>
    </row>
    <row r="532" spans="1:19" x14ac:dyDescent="0.3">
      <c r="A532" s="1">
        <v>1095</v>
      </c>
      <c r="B532" s="2">
        <v>45208</v>
      </c>
      <c r="C532" s="1" t="s">
        <v>22</v>
      </c>
      <c r="D532" s="1" t="s">
        <v>49</v>
      </c>
      <c r="E532" s="1">
        <v>8828.74</v>
      </c>
      <c r="F532" s="1">
        <v>21</v>
      </c>
      <c r="G532" s="1" t="s">
        <v>26</v>
      </c>
      <c r="H532" s="1">
        <v>621.04999999999995</v>
      </c>
      <c r="I532" s="1">
        <v>820.36999999999898</v>
      </c>
      <c r="J532" s="1" t="s">
        <v>17</v>
      </c>
      <c r="K532" s="1">
        <v>0.24</v>
      </c>
      <c r="L532" s="1" t="s">
        <v>25</v>
      </c>
      <c r="M532" s="1" t="s">
        <v>19</v>
      </c>
      <c r="N532" s="1">
        <f>SUM(Table3[[#This Row],[Unit_Price]]-Table3[[#This Row],[Unit_Cost]])</f>
        <v>199.31999999999903</v>
      </c>
      <c r="O532" s="7"/>
      <c r="P532" s="7"/>
      <c r="Q532" s="7"/>
      <c r="S532"/>
    </row>
    <row r="533" spans="1:19" x14ac:dyDescent="0.3">
      <c r="A533" s="1">
        <v>1010</v>
      </c>
      <c r="B533" s="2">
        <v>45012</v>
      </c>
      <c r="C533" s="1" t="s">
        <v>32</v>
      </c>
      <c r="D533" s="1" t="s">
        <v>50</v>
      </c>
      <c r="E533" s="1">
        <v>8159.84</v>
      </c>
      <c r="F533" s="1">
        <v>37</v>
      </c>
      <c r="G533" s="1" t="s">
        <v>26</v>
      </c>
      <c r="H533" s="1">
        <v>4354.92</v>
      </c>
      <c r="I533" s="1">
        <v>4495.88</v>
      </c>
      <c r="J533" s="1" t="s">
        <v>17</v>
      </c>
      <c r="K533" s="1">
        <v>0.01</v>
      </c>
      <c r="L533" s="1" t="s">
        <v>25</v>
      </c>
      <c r="M533" s="1" t="s">
        <v>19</v>
      </c>
      <c r="N533" s="1">
        <f>SUM(Table3[[#This Row],[Unit_Price]]-Table3[[#This Row],[Unit_Cost]])</f>
        <v>140.96000000000004</v>
      </c>
      <c r="O533" s="7"/>
      <c r="P533" s="7"/>
      <c r="Q533" s="7"/>
      <c r="S533"/>
    </row>
    <row r="534" spans="1:19" x14ac:dyDescent="0.3">
      <c r="A534" s="1">
        <v>1019</v>
      </c>
      <c r="B534" s="2">
        <v>45176</v>
      </c>
      <c r="C534" s="1" t="s">
        <v>14</v>
      </c>
      <c r="D534" s="1" t="s">
        <v>44</v>
      </c>
      <c r="E534" s="1">
        <v>6882.83</v>
      </c>
      <c r="F534" s="1">
        <v>27</v>
      </c>
      <c r="G534" s="1" t="s">
        <v>31</v>
      </c>
      <c r="H534" s="1">
        <v>2387.52</v>
      </c>
      <c r="I534" s="1">
        <v>2604.06</v>
      </c>
      <c r="J534" s="1" t="s">
        <v>17</v>
      </c>
      <c r="K534" s="1">
        <v>0.16</v>
      </c>
      <c r="L534" s="1" t="s">
        <v>18</v>
      </c>
      <c r="M534" s="1" t="s">
        <v>19</v>
      </c>
      <c r="N534" s="1">
        <f>SUM(Table3[[#This Row],[Unit_Price]]-Table3[[#This Row],[Unit_Cost]])</f>
        <v>216.53999999999996</v>
      </c>
      <c r="O534" s="7"/>
      <c r="P534" s="7"/>
      <c r="Q534" s="7"/>
      <c r="S534"/>
    </row>
    <row r="535" spans="1:19" x14ac:dyDescent="0.3">
      <c r="A535" s="1">
        <v>1058</v>
      </c>
      <c r="B535" s="2">
        <v>45196</v>
      </c>
      <c r="C535" s="1" t="s">
        <v>32</v>
      </c>
      <c r="D535" s="1" t="s">
        <v>45</v>
      </c>
      <c r="E535" s="1">
        <v>1193.28</v>
      </c>
      <c r="F535" s="1">
        <v>29</v>
      </c>
      <c r="G535" s="1" t="s">
        <v>31</v>
      </c>
      <c r="H535" s="1">
        <v>3578.77</v>
      </c>
      <c r="I535" s="1">
        <v>3635.02</v>
      </c>
      <c r="J535" s="1" t="s">
        <v>27</v>
      </c>
      <c r="K535" s="1">
        <v>0.2</v>
      </c>
      <c r="L535" s="1" t="s">
        <v>25</v>
      </c>
      <c r="M535" s="1" t="s">
        <v>21</v>
      </c>
      <c r="N535" s="1">
        <f>SUM(Table3[[#This Row],[Unit_Price]]-Table3[[#This Row],[Unit_Cost]])</f>
        <v>56.25</v>
      </c>
      <c r="O535" s="7"/>
      <c r="P535" s="7"/>
      <c r="Q535" s="7"/>
      <c r="S535"/>
    </row>
    <row r="536" spans="1:19" x14ac:dyDescent="0.3">
      <c r="A536" s="1">
        <v>1096</v>
      </c>
      <c r="B536" s="2">
        <v>45261</v>
      </c>
      <c r="C536" s="1" t="s">
        <v>14</v>
      </c>
      <c r="D536" s="1" t="s">
        <v>46</v>
      </c>
      <c r="E536" s="1">
        <v>2962.96</v>
      </c>
      <c r="F536" s="1">
        <v>20</v>
      </c>
      <c r="G536" s="1" t="s">
        <v>16</v>
      </c>
      <c r="H536" s="1">
        <v>1994.9</v>
      </c>
      <c r="I536" s="1">
        <v>2066.5</v>
      </c>
      <c r="J536" s="1" t="s">
        <v>17</v>
      </c>
      <c r="K536" s="1">
        <v>0.06</v>
      </c>
      <c r="L536" s="1" t="s">
        <v>25</v>
      </c>
      <c r="M536" s="1" t="s">
        <v>19</v>
      </c>
      <c r="N536" s="1">
        <f>SUM(Table3[[#This Row],[Unit_Price]]-Table3[[#This Row],[Unit_Cost]])</f>
        <v>71.599999999999909</v>
      </c>
      <c r="O536" s="7"/>
      <c r="P536" s="7"/>
      <c r="Q536" s="7"/>
      <c r="S536"/>
    </row>
    <row r="537" spans="1:19" x14ac:dyDescent="0.3">
      <c r="A537" s="1">
        <v>1001</v>
      </c>
      <c r="B537" s="2">
        <v>45043</v>
      </c>
      <c r="C537" s="1" t="s">
        <v>32</v>
      </c>
      <c r="D537" s="1" t="s">
        <v>47</v>
      </c>
      <c r="E537" s="1">
        <v>3167.09</v>
      </c>
      <c r="F537" s="1">
        <v>25</v>
      </c>
      <c r="G537" s="1" t="s">
        <v>31</v>
      </c>
      <c r="H537" s="1">
        <v>1330.62</v>
      </c>
      <c r="I537" s="1">
        <v>1543.6899999999901</v>
      </c>
      <c r="J537" s="1" t="s">
        <v>27</v>
      </c>
      <c r="K537" s="1">
        <v>0.27</v>
      </c>
      <c r="L537" s="1" t="s">
        <v>28</v>
      </c>
      <c r="M537" s="1" t="s">
        <v>19</v>
      </c>
      <c r="N537" s="1">
        <f>SUM(Table3[[#This Row],[Unit_Price]]-Table3[[#This Row],[Unit_Cost]])</f>
        <v>213.06999999999016</v>
      </c>
      <c r="O537" s="7"/>
      <c r="P537" s="7"/>
      <c r="Q537" s="7"/>
      <c r="S537"/>
    </row>
    <row r="538" spans="1:19" x14ac:dyDescent="0.3">
      <c r="A538" s="1">
        <v>1069</v>
      </c>
      <c r="B538" s="2">
        <v>44933</v>
      </c>
      <c r="C538" s="1" t="s">
        <v>33</v>
      </c>
      <c r="D538" s="1" t="s">
        <v>48</v>
      </c>
      <c r="E538" s="1">
        <v>2574.5700000000002</v>
      </c>
      <c r="F538" s="1">
        <v>6</v>
      </c>
      <c r="G538" s="1" t="s">
        <v>24</v>
      </c>
      <c r="H538" s="1">
        <v>1768.6</v>
      </c>
      <c r="I538" s="1">
        <v>2152.1999999999998</v>
      </c>
      <c r="J538" s="1" t="s">
        <v>27</v>
      </c>
      <c r="K538" s="1">
        <v>0.25</v>
      </c>
      <c r="L538" s="1" t="s">
        <v>25</v>
      </c>
      <c r="M538" s="1" t="s">
        <v>21</v>
      </c>
      <c r="N538" s="1">
        <f>SUM(Table3[[#This Row],[Unit_Price]]-Table3[[#This Row],[Unit_Cost]])</f>
        <v>383.59999999999991</v>
      </c>
      <c r="O538" s="7"/>
      <c r="P538" s="7"/>
      <c r="Q538" s="7"/>
      <c r="S538"/>
    </row>
    <row r="539" spans="1:19" x14ac:dyDescent="0.3">
      <c r="A539" s="1">
        <v>1004</v>
      </c>
      <c r="B539" s="2">
        <v>45063</v>
      </c>
      <c r="C539" s="1" t="s">
        <v>33</v>
      </c>
      <c r="D539" s="1" t="s">
        <v>49</v>
      </c>
      <c r="E539" s="1">
        <v>5198.5600000000004</v>
      </c>
      <c r="F539" s="1">
        <v>36</v>
      </c>
      <c r="G539" s="1" t="s">
        <v>24</v>
      </c>
      <c r="H539" s="1">
        <v>3981.2</v>
      </c>
      <c r="I539" s="1">
        <v>4432.3499999999904</v>
      </c>
      <c r="J539" s="1" t="s">
        <v>27</v>
      </c>
      <c r="K539" s="1">
        <v>0.14000000000000001</v>
      </c>
      <c r="L539" s="1" t="s">
        <v>18</v>
      </c>
      <c r="M539" s="1" t="s">
        <v>19</v>
      </c>
      <c r="N539" s="1">
        <f>SUM(Table3[[#This Row],[Unit_Price]]-Table3[[#This Row],[Unit_Cost]])</f>
        <v>451.14999999999054</v>
      </c>
      <c r="O539" s="7"/>
      <c r="P539" s="7"/>
      <c r="Q539" s="7"/>
      <c r="S539"/>
    </row>
    <row r="540" spans="1:19" x14ac:dyDescent="0.3">
      <c r="A540" s="1">
        <v>1016</v>
      </c>
      <c r="B540" s="2">
        <v>45102</v>
      </c>
      <c r="C540" s="1" t="s">
        <v>33</v>
      </c>
      <c r="D540" s="1" t="s">
        <v>50</v>
      </c>
      <c r="E540" s="1">
        <v>5401.98</v>
      </c>
      <c r="F540" s="1">
        <v>2</v>
      </c>
      <c r="G540" s="1" t="s">
        <v>31</v>
      </c>
      <c r="H540" s="1">
        <v>3144.82</v>
      </c>
      <c r="I540" s="1">
        <v>3480.58</v>
      </c>
      <c r="J540" s="1" t="s">
        <v>17</v>
      </c>
      <c r="K540" s="1">
        <v>0.12</v>
      </c>
      <c r="L540" s="1" t="s">
        <v>18</v>
      </c>
      <c r="M540" s="1" t="s">
        <v>21</v>
      </c>
      <c r="N540" s="1">
        <f>SUM(Table3[[#This Row],[Unit_Price]]-Table3[[#This Row],[Unit_Cost]])</f>
        <v>335.75999999999976</v>
      </c>
      <c r="O540" s="7"/>
      <c r="P540" s="7"/>
      <c r="Q540" s="7"/>
      <c r="S540"/>
    </row>
    <row r="541" spans="1:19" x14ac:dyDescent="0.3">
      <c r="A541" s="1">
        <v>1024</v>
      </c>
      <c r="B541" s="2">
        <v>45254</v>
      </c>
      <c r="C541" s="1" t="s">
        <v>33</v>
      </c>
      <c r="D541" s="1" t="s">
        <v>44</v>
      </c>
      <c r="E541" s="1">
        <v>3633.17</v>
      </c>
      <c r="F541" s="1">
        <v>22</v>
      </c>
      <c r="G541" s="1" t="s">
        <v>24</v>
      </c>
      <c r="H541" s="1">
        <v>4691.32</v>
      </c>
      <c r="I541" s="1">
        <v>4752.88</v>
      </c>
      <c r="J541" s="1" t="s">
        <v>17</v>
      </c>
      <c r="K541" s="1">
        <v>7.0000000000000007E-2</v>
      </c>
      <c r="L541" s="1" t="s">
        <v>25</v>
      </c>
      <c r="M541" s="1" t="s">
        <v>21</v>
      </c>
      <c r="N541" s="1">
        <f>SUM(Table3[[#This Row],[Unit_Price]]-Table3[[#This Row],[Unit_Cost]])</f>
        <v>61.5600000000004</v>
      </c>
      <c r="O541" s="7"/>
      <c r="P541" s="7"/>
      <c r="Q541" s="7"/>
      <c r="S541"/>
    </row>
    <row r="542" spans="1:19" x14ac:dyDescent="0.3">
      <c r="A542" s="1">
        <v>1080</v>
      </c>
      <c r="B542" s="2">
        <v>45241</v>
      </c>
      <c r="C542" s="1" t="s">
        <v>33</v>
      </c>
      <c r="D542" s="1" t="s">
        <v>45</v>
      </c>
      <c r="E542" s="1">
        <v>3602.51</v>
      </c>
      <c r="F542" s="1">
        <v>32</v>
      </c>
      <c r="G542" s="1" t="s">
        <v>31</v>
      </c>
      <c r="H542" s="1">
        <v>3414.54</v>
      </c>
      <c r="I542" s="1">
        <v>3753.83</v>
      </c>
      <c r="J542" s="1" t="s">
        <v>27</v>
      </c>
      <c r="K542" s="1">
        <v>0.22</v>
      </c>
      <c r="L542" s="1" t="s">
        <v>18</v>
      </c>
      <c r="M542" s="1" t="s">
        <v>21</v>
      </c>
      <c r="N542" s="1">
        <f>SUM(Table3[[#This Row],[Unit_Price]]-Table3[[#This Row],[Unit_Cost]])</f>
        <v>339.28999999999996</v>
      </c>
      <c r="O542" s="7"/>
      <c r="P542" s="7"/>
      <c r="Q542" s="7"/>
      <c r="S542"/>
    </row>
    <row r="543" spans="1:19" x14ac:dyDescent="0.3">
      <c r="A543" s="1">
        <v>1002</v>
      </c>
      <c r="B543" s="2">
        <v>45141</v>
      </c>
      <c r="C543" s="1" t="s">
        <v>33</v>
      </c>
      <c r="D543" s="1" t="s">
        <v>46</v>
      </c>
      <c r="E543" s="1">
        <v>8302.7000000000007</v>
      </c>
      <c r="F543" s="1">
        <v>16</v>
      </c>
      <c r="G543" s="1" t="s">
        <v>16</v>
      </c>
      <c r="H543" s="1">
        <v>2872.4</v>
      </c>
      <c r="I543" s="1">
        <v>3193.76</v>
      </c>
      <c r="J543" s="1" t="s">
        <v>17</v>
      </c>
      <c r="K543" s="1">
        <v>0.04</v>
      </c>
      <c r="L543" s="1" t="s">
        <v>28</v>
      </c>
      <c r="M543" s="1" t="s">
        <v>19</v>
      </c>
      <c r="N543" s="1">
        <f>SUM(Table3[[#This Row],[Unit_Price]]-Table3[[#This Row],[Unit_Cost]])</f>
        <v>321.36000000000013</v>
      </c>
      <c r="O543" s="7"/>
      <c r="P543" s="7"/>
      <c r="Q543" s="7"/>
      <c r="S543"/>
    </row>
    <row r="544" spans="1:19" x14ac:dyDescent="0.3">
      <c r="A544" s="1">
        <v>1092</v>
      </c>
      <c r="B544" s="2">
        <v>45008</v>
      </c>
      <c r="C544" s="1" t="s">
        <v>14</v>
      </c>
      <c r="D544" s="1" t="s">
        <v>47</v>
      </c>
      <c r="E544" s="1">
        <v>7914</v>
      </c>
      <c r="F544" s="1">
        <v>18</v>
      </c>
      <c r="G544" s="1" t="s">
        <v>24</v>
      </c>
      <c r="H544" s="1">
        <v>3070.47</v>
      </c>
      <c r="I544" s="1">
        <v>3475.29</v>
      </c>
      <c r="J544" s="1" t="s">
        <v>17</v>
      </c>
      <c r="K544" s="1">
        <v>0.2</v>
      </c>
      <c r="L544" s="1" t="s">
        <v>25</v>
      </c>
      <c r="M544" s="1" t="s">
        <v>19</v>
      </c>
      <c r="N544" s="1">
        <f>SUM(Table3[[#This Row],[Unit_Price]]-Table3[[#This Row],[Unit_Cost]])</f>
        <v>404.82000000000016</v>
      </c>
      <c r="O544" s="7"/>
      <c r="P544" s="7"/>
      <c r="Q544" s="7"/>
      <c r="S544"/>
    </row>
    <row r="545" spans="1:19" x14ac:dyDescent="0.3">
      <c r="A545" s="1">
        <v>1032</v>
      </c>
      <c r="B545" s="2">
        <v>45149</v>
      </c>
      <c r="C545" s="1" t="s">
        <v>22</v>
      </c>
      <c r="D545" s="1" t="s">
        <v>48</v>
      </c>
      <c r="E545" s="1">
        <v>3147.18</v>
      </c>
      <c r="F545" s="1">
        <v>5</v>
      </c>
      <c r="G545" s="1" t="s">
        <v>24</v>
      </c>
      <c r="H545" s="1">
        <v>4714.74</v>
      </c>
      <c r="I545" s="1">
        <v>5129.1099999999997</v>
      </c>
      <c r="J545" s="1" t="s">
        <v>27</v>
      </c>
      <c r="K545" s="1">
        <v>0.25</v>
      </c>
      <c r="L545" s="1" t="s">
        <v>25</v>
      </c>
      <c r="M545" s="1" t="s">
        <v>19</v>
      </c>
      <c r="N545" s="1">
        <f>SUM(Table3[[#This Row],[Unit_Price]]-Table3[[#This Row],[Unit_Cost]])</f>
        <v>414.36999999999989</v>
      </c>
      <c r="O545" s="7"/>
      <c r="P545" s="7"/>
      <c r="Q545" s="7"/>
      <c r="S545"/>
    </row>
    <row r="546" spans="1:19" x14ac:dyDescent="0.3">
      <c r="A546" s="1">
        <v>1091</v>
      </c>
      <c r="B546" s="2">
        <v>45029</v>
      </c>
      <c r="C546" s="1" t="s">
        <v>32</v>
      </c>
      <c r="D546" s="1" t="s">
        <v>49</v>
      </c>
      <c r="E546" s="1">
        <v>9146.51</v>
      </c>
      <c r="F546" s="1">
        <v>36</v>
      </c>
      <c r="G546" s="1" t="s">
        <v>31</v>
      </c>
      <c r="H546" s="1">
        <v>3951.59</v>
      </c>
      <c r="I546" s="1">
        <v>4387.01</v>
      </c>
      <c r="J546" s="1" t="s">
        <v>27</v>
      </c>
      <c r="K546" s="1">
        <v>7.0000000000000007E-2</v>
      </c>
      <c r="L546" s="1" t="s">
        <v>25</v>
      </c>
      <c r="M546" s="1" t="s">
        <v>21</v>
      </c>
      <c r="N546" s="1">
        <f>SUM(Table3[[#This Row],[Unit_Price]]-Table3[[#This Row],[Unit_Cost]])</f>
        <v>435.42000000000007</v>
      </c>
      <c r="O546" s="7"/>
      <c r="P546" s="7"/>
      <c r="Q546" s="7"/>
      <c r="S546"/>
    </row>
    <row r="547" spans="1:19" x14ac:dyDescent="0.3">
      <c r="A547" s="1">
        <v>1084</v>
      </c>
      <c r="B547" s="2">
        <v>45199</v>
      </c>
      <c r="C547" s="1" t="s">
        <v>33</v>
      </c>
      <c r="D547" s="1" t="s">
        <v>50</v>
      </c>
      <c r="E547" s="1">
        <v>9532.8700000000008</v>
      </c>
      <c r="F547" s="1">
        <v>30</v>
      </c>
      <c r="G547" s="1" t="s">
        <v>24</v>
      </c>
      <c r="H547" s="1">
        <v>169</v>
      </c>
      <c r="I547" s="1">
        <v>381.91999999999899</v>
      </c>
      <c r="J547" s="1" t="s">
        <v>17</v>
      </c>
      <c r="K547" s="1">
        <v>0.26</v>
      </c>
      <c r="L547" s="1" t="s">
        <v>18</v>
      </c>
      <c r="M547" s="1" t="s">
        <v>21</v>
      </c>
      <c r="N547" s="1">
        <f>SUM(Table3[[#This Row],[Unit_Price]]-Table3[[#This Row],[Unit_Cost]])</f>
        <v>212.91999999999899</v>
      </c>
      <c r="O547" s="7"/>
      <c r="P547" s="7"/>
      <c r="Q547" s="7"/>
      <c r="S547"/>
    </row>
    <row r="548" spans="1:19" x14ac:dyDescent="0.3">
      <c r="A548" s="1">
        <v>1024</v>
      </c>
      <c r="B548" s="2">
        <v>44940</v>
      </c>
      <c r="C548" s="1" t="s">
        <v>14</v>
      </c>
      <c r="D548" s="1" t="s">
        <v>44</v>
      </c>
      <c r="E548" s="1">
        <v>3334.75</v>
      </c>
      <c r="F548" s="1">
        <v>45</v>
      </c>
      <c r="G548" s="1" t="s">
        <v>26</v>
      </c>
      <c r="H548" s="1">
        <v>2693.99</v>
      </c>
      <c r="I548" s="1">
        <v>3045.9399999999901</v>
      </c>
      <c r="J548" s="1" t="s">
        <v>27</v>
      </c>
      <c r="K548" s="1">
        <v>0.01</v>
      </c>
      <c r="L548" s="1" t="s">
        <v>18</v>
      </c>
      <c r="M548" s="1" t="s">
        <v>21</v>
      </c>
      <c r="N548" s="1">
        <f>SUM(Table3[[#This Row],[Unit_Price]]-Table3[[#This Row],[Unit_Cost]])</f>
        <v>351.94999999999027</v>
      </c>
      <c r="O548" s="7"/>
      <c r="P548" s="7"/>
      <c r="Q548" s="7"/>
      <c r="S548"/>
    </row>
    <row r="549" spans="1:19" x14ac:dyDescent="0.3">
      <c r="A549" s="1">
        <v>1012</v>
      </c>
      <c r="B549" s="2">
        <v>45085</v>
      </c>
      <c r="C549" s="1" t="s">
        <v>14</v>
      </c>
      <c r="D549" s="1" t="s">
        <v>45</v>
      </c>
      <c r="E549" s="1">
        <v>3608.81</v>
      </c>
      <c r="F549" s="1">
        <v>19</v>
      </c>
      <c r="G549" s="1" t="s">
        <v>16</v>
      </c>
      <c r="H549" s="1">
        <v>3457.28</v>
      </c>
      <c r="I549" s="1">
        <v>3598.72</v>
      </c>
      <c r="J549" s="1" t="s">
        <v>27</v>
      </c>
      <c r="K549" s="1">
        <v>0.27</v>
      </c>
      <c r="L549" s="1" t="s">
        <v>25</v>
      </c>
      <c r="M549" s="1" t="s">
        <v>19</v>
      </c>
      <c r="N549" s="1">
        <f>SUM(Table3[[#This Row],[Unit_Price]]-Table3[[#This Row],[Unit_Cost]])</f>
        <v>141.4399999999996</v>
      </c>
      <c r="O549" s="7"/>
      <c r="P549" s="7"/>
      <c r="Q549" s="7"/>
      <c r="S549"/>
    </row>
    <row r="550" spans="1:19" x14ac:dyDescent="0.3">
      <c r="A550" s="1">
        <v>1050</v>
      </c>
      <c r="B550" s="2">
        <v>45078</v>
      </c>
      <c r="C550" s="1" t="s">
        <v>14</v>
      </c>
      <c r="D550" s="1" t="s">
        <v>46</v>
      </c>
      <c r="E550" s="1">
        <v>5105.78</v>
      </c>
      <c r="F550" s="1">
        <v>23</v>
      </c>
      <c r="G550" s="1" t="s">
        <v>16</v>
      </c>
      <c r="H550" s="1">
        <v>3756.06</v>
      </c>
      <c r="I550" s="1">
        <v>4255.7299999999996</v>
      </c>
      <c r="J550" s="1" t="s">
        <v>17</v>
      </c>
      <c r="K550" s="1">
        <v>0.04</v>
      </c>
      <c r="L550" s="1" t="s">
        <v>18</v>
      </c>
      <c r="M550" s="1" t="s">
        <v>19</v>
      </c>
      <c r="N550" s="1">
        <f>SUM(Table3[[#This Row],[Unit_Price]]-Table3[[#This Row],[Unit_Cost]])</f>
        <v>499.66999999999962</v>
      </c>
      <c r="O550" s="7"/>
      <c r="P550" s="7"/>
      <c r="Q550" s="7"/>
      <c r="S550"/>
    </row>
    <row r="551" spans="1:19" x14ac:dyDescent="0.3">
      <c r="A551" s="1">
        <v>1035</v>
      </c>
      <c r="B551" s="2">
        <v>45034</v>
      </c>
      <c r="C551" s="1" t="s">
        <v>22</v>
      </c>
      <c r="D551" s="1" t="s">
        <v>47</v>
      </c>
      <c r="E551" s="1">
        <v>9417.1</v>
      </c>
      <c r="F551" s="1">
        <v>34</v>
      </c>
      <c r="G551" s="1" t="s">
        <v>24</v>
      </c>
      <c r="H551" s="1">
        <v>1105.05</v>
      </c>
      <c r="I551" s="1">
        <v>1200.96</v>
      </c>
      <c r="J551" s="1" t="s">
        <v>17</v>
      </c>
      <c r="K551" s="1">
        <v>0.19</v>
      </c>
      <c r="L551" s="1" t="s">
        <v>18</v>
      </c>
      <c r="M551" s="1" t="s">
        <v>19</v>
      </c>
      <c r="N551" s="1">
        <f>SUM(Table3[[#This Row],[Unit_Price]]-Table3[[#This Row],[Unit_Cost]])</f>
        <v>95.910000000000082</v>
      </c>
      <c r="O551" s="7"/>
      <c r="P551" s="7"/>
      <c r="Q551" s="7"/>
      <c r="S551"/>
    </row>
    <row r="552" spans="1:19" x14ac:dyDescent="0.3">
      <c r="A552" s="1">
        <v>1033</v>
      </c>
      <c r="B552" s="2">
        <v>45114</v>
      </c>
      <c r="C552" s="1" t="s">
        <v>32</v>
      </c>
      <c r="D552" s="1" t="s">
        <v>48</v>
      </c>
      <c r="E552" s="1">
        <v>8775.56</v>
      </c>
      <c r="F552" s="1">
        <v>13</v>
      </c>
      <c r="G552" s="1" t="s">
        <v>24</v>
      </c>
      <c r="H552" s="1">
        <v>4342.53</v>
      </c>
      <c r="I552" s="1">
        <v>4357.49</v>
      </c>
      <c r="J552" s="1" t="s">
        <v>27</v>
      </c>
      <c r="K552" s="1">
        <v>0.08</v>
      </c>
      <c r="L552" s="1" t="s">
        <v>25</v>
      </c>
      <c r="M552" s="1" t="s">
        <v>19</v>
      </c>
      <c r="N552" s="1">
        <f>SUM(Table3[[#This Row],[Unit_Price]]-Table3[[#This Row],[Unit_Cost]])</f>
        <v>14.960000000000036</v>
      </c>
      <c r="O552" s="7"/>
      <c r="P552" s="7"/>
      <c r="Q552" s="7"/>
      <c r="S552"/>
    </row>
    <row r="553" spans="1:19" x14ac:dyDescent="0.3">
      <c r="A553" s="1">
        <v>1033</v>
      </c>
      <c r="B553" s="2">
        <v>45227</v>
      </c>
      <c r="C553" s="1" t="s">
        <v>22</v>
      </c>
      <c r="D553" s="1" t="s">
        <v>49</v>
      </c>
      <c r="E553" s="1">
        <v>1115.42</v>
      </c>
      <c r="F553" s="1">
        <v>43</v>
      </c>
      <c r="G553" s="1" t="s">
        <v>26</v>
      </c>
      <c r="H553" s="1">
        <v>4781.42</v>
      </c>
      <c r="I553" s="1">
        <v>4864.34</v>
      </c>
      <c r="J553" s="1" t="s">
        <v>17</v>
      </c>
      <c r="K553" s="1">
        <v>0.25</v>
      </c>
      <c r="L553" s="1" t="s">
        <v>25</v>
      </c>
      <c r="M553" s="1" t="s">
        <v>19</v>
      </c>
      <c r="N553" s="1">
        <f>SUM(Table3[[#This Row],[Unit_Price]]-Table3[[#This Row],[Unit_Cost]])</f>
        <v>82.920000000000073</v>
      </c>
      <c r="O553" s="7"/>
      <c r="P553" s="7"/>
      <c r="Q553" s="7"/>
      <c r="S553"/>
    </row>
    <row r="554" spans="1:19" x14ac:dyDescent="0.3">
      <c r="A554" s="1">
        <v>1061</v>
      </c>
      <c r="B554" s="2">
        <v>45024</v>
      </c>
      <c r="C554" s="1" t="s">
        <v>29</v>
      </c>
      <c r="D554" s="1" t="s">
        <v>50</v>
      </c>
      <c r="E554" s="1">
        <v>3988.03</v>
      </c>
      <c r="F554" s="1">
        <v>29</v>
      </c>
      <c r="G554" s="1" t="s">
        <v>26</v>
      </c>
      <c r="H554" s="1">
        <v>1221.74</v>
      </c>
      <c r="I554" s="1">
        <v>1611.92</v>
      </c>
      <c r="J554" s="1" t="s">
        <v>27</v>
      </c>
      <c r="K554" s="1">
        <v>0.15</v>
      </c>
      <c r="L554" s="1" t="s">
        <v>18</v>
      </c>
      <c r="M554" s="1" t="s">
        <v>21</v>
      </c>
      <c r="N554" s="1">
        <f>SUM(Table3[[#This Row],[Unit_Price]]-Table3[[#This Row],[Unit_Cost]])</f>
        <v>390.18000000000006</v>
      </c>
      <c r="O554" s="7"/>
      <c r="P554" s="7"/>
      <c r="Q554" s="7"/>
      <c r="S554"/>
    </row>
    <row r="555" spans="1:19" x14ac:dyDescent="0.3">
      <c r="A555" s="1">
        <v>1051</v>
      </c>
      <c r="B555" s="2">
        <v>45057</v>
      </c>
      <c r="C555" s="1" t="s">
        <v>14</v>
      </c>
      <c r="D555" s="1" t="s">
        <v>44</v>
      </c>
      <c r="E555" s="1">
        <v>5578.37</v>
      </c>
      <c r="F555" s="1">
        <v>36</v>
      </c>
      <c r="G555" s="1" t="s">
        <v>24</v>
      </c>
      <c r="H555" s="1">
        <v>4418.95</v>
      </c>
      <c r="I555" s="1">
        <v>4647.87</v>
      </c>
      <c r="J555" s="1" t="s">
        <v>27</v>
      </c>
      <c r="K555" s="1">
        <v>0.04</v>
      </c>
      <c r="L555" s="1" t="s">
        <v>25</v>
      </c>
      <c r="M555" s="1" t="s">
        <v>19</v>
      </c>
      <c r="N555" s="1">
        <f>SUM(Table3[[#This Row],[Unit_Price]]-Table3[[#This Row],[Unit_Cost]])</f>
        <v>228.92000000000007</v>
      </c>
      <c r="O555" s="7"/>
      <c r="P555" s="7"/>
      <c r="Q555" s="7"/>
      <c r="S555"/>
    </row>
    <row r="556" spans="1:19" x14ac:dyDescent="0.3">
      <c r="A556" s="1">
        <v>1043</v>
      </c>
      <c r="B556" s="2">
        <v>45219</v>
      </c>
      <c r="C556" s="1" t="s">
        <v>29</v>
      </c>
      <c r="D556" s="1" t="s">
        <v>45</v>
      </c>
      <c r="E556" s="1">
        <v>5081.01</v>
      </c>
      <c r="F556" s="1">
        <v>22</v>
      </c>
      <c r="G556" s="1" t="s">
        <v>24</v>
      </c>
      <c r="H556" s="1">
        <v>530.04</v>
      </c>
      <c r="I556" s="1">
        <v>759.31999999999903</v>
      </c>
      <c r="J556" s="1" t="s">
        <v>17</v>
      </c>
      <c r="K556" s="1">
        <v>0.17</v>
      </c>
      <c r="L556" s="1" t="s">
        <v>25</v>
      </c>
      <c r="M556" s="1" t="s">
        <v>21</v>
      </c>
      <c r="N556" s="1">
        <f>SUM(Table3[[#This Row],[Unit_Price]]-Table3[[#This Row],[Unit_Cost]])</f>
        <v>229.27999999999906</v>
      </c>
      <c r="O556" s="7"/>
      <c r="P556" s="7"/>
      <c r="Q556" s="7"/>
      <c r="S556"/>
    </row>
    <row r="557" spans="1:19" x14ac:dyDescent="0.3">
      <c r="A557" s="1">
        <v>1012</v>
      </c>
      <c r="B557" s="2">
        <v>45097</v>
      </c>
      <c r="C557" s="1" t="s">
        <v>33</v>
      </c>
      <c r="D557" s="1" t="s">
        <v>46</v>
      </c>
      <c r="E557" s="1">
        <v>2019.24</v>
      </c>
      <c r="F557" s="1">
        <v>47</v>
      </c>
      <c r="G557" s="1" t="s">
        <v>26</v>
      </c>
      <c r="H557" s="1">
        <v>325.75</v>
      </c>
      <c r="I557" s="1">
        <v>803.71</v>
      </c>
      <c r="J557" s="1" t="s">
        <v>27</v>
      </c>
      <c r="K557" s="1">
        <v>0.12</v>
      </c>
      <c r="L557" s="1" t="s">
        <v>25</v>
      </c>
      <c r="M557" s="1" t="s">
        <v>21</v>
      </c>
      <c r="N557" s="1">
        <f>SUM(Table3[[#This Row],[Unit_Price]]-Table3[[#This Row],[Unit_Cost]])</f>
        <v>477.96000000000004</v>
      </c>
      <c r="O557" s="7"/>
      <c r="P557" s="7"/>
      <c r="Q557" s="7"/>
      <c r="S557"/>
    </row>
    <row r="558" spans="1:19" x14ac:dyDescent="0.3">
      <c r="A558" s="1">
        <v>1067</v>
      </c>
      <c r="B558" s="2">
        <v>45109</v>
      </c>
      <c r="C558" s="1" t="s">
        <v>33</v>
      </c>
      <c r="D558" s="1" t="s">
        <v>47</v>
      </c>
      <c r="E558" s="1">
        <v>8602.2900000000009</v>
      </c>
      <c r="F558" s="1">
        <v>36</v>
      </c>
      <c r="G558" s="1" t="s">
        <v>31</v>
      </c>
      <c r="H558" s="1">
        <v>689.66</v>
      </c>
      <c r="I558" s="1">
        <v>1150.28</v>
      </c>
      <c r="J558" s="1" t="s">
        <v>27</v>
      </c>
      <c r="K558" s="1">
        <v>0.2</v>
      </c>
      <c r="L558" s="1" t="s">
        <v>25</v>
      </c>
      <c r="M558" s="1" t="s">
        <v>19</v>
      </c>
      <c r="N558" s="1">
        <f>SUM(Table3[[#This Row],[Unit_Price]]-Table3[[#This Row],[Unit_Cost]])</f>
        <v>460.62</v>
      </c>
      <c r="O558" s="7"/>
      <c r="P558" s="7"/>
      <c r="Q558" s="7"/>
      <c r="S558"/>
    </row>
    <row r="559" spans="1:19" x14ac:dyDescent="0.3">
      <c r="A559" s="1">
        <v>1065</v>
      </c>
      <c r="B559" s="2">
        <v>45290</v>
      </c>
      <c r="C559" s="1" t="s">
        <v>22</v>
      </c>
      <c r="D559" s="1" t="s">
        <v>48</v>
      </c>
      <c r="E559" s="1">
        <v>6801.71</v>
      </c>
      <c r="F559" s="1">
        <v>9</v>
      </c>
      <c r="G559" s="1" t="s">
        <v>26</v>
      </c>
      <c r="H559" s="1">
        <v>335.82</v>
      </c>
      <c r="I559" s="1">
        <v>498.31</v>
      </c>
      <c r="J559" s="1" t="s">
        <v>27</v>
      </c>
      <c r="K559" s="1">
        <v>0.26</v>
      </c>
      <c r="L559" s="1" t="s">
        <v>18</v>
      </c>
      <c r="M559" s="1" t="s">
        <v>21</v>
      </c>
      <c r="N559" s="1">
        <f>SUM(Table3[[#This Row],[Unit_Price]]-Table3[[#This Row],[Unit_Cost]])</f>
        <v>162.49</v>
      </c>
      <c r="O559" s="7"/>
      <c r="P559" s="7"/>
      <c r="Q559" s="7"/>
      <c r="S559"/>
    </row>
    <row r="560" spans="1:19" x14ac:dyDescent="0.3">
      <c r="A560" s="1">
        <v>1033</v>
      </c>
      <c r="B560" s="2">
        <v>44965</v>
      </c>
      <c r="C560" s="1" t="s">
        <v>32</v>
      </c>
      <c r="D560" s="1" t="s">
        <v>49</v>
      </c>
      <c r="E560" s="1">
        <v>8395.2900000000009</v>
      </c>
      <c r="F560" s="1">
        <v>39</v>
      </c>
      <c r="G560" s="1" t="s">
        <v>31</v>
      </c>
      <c r="H560" s="1">
        <v>4232.8100000000004</v>
      </c>
      <c r="I560" s="1">
        <v>4345.25</v>
      </c>
      <c r="J560" s="1" t="s">
        <v>17</v>
      </c>
      <c r="K560" s="1">
        <v>0.12</v>
      </c>
      <c r="L560" s="1" t="s">
        <v>25</v>
      </c>
      <c r="M560" s="1" t="s">
        <v>19</v>
      </c>
      <c r="N560" s="1">
        <f>SUM(Table3[[#This Row],[Unit_Price]]-Table3[[#This Row],[Unit_Cost]])</f>
        <v>112.4399999999996</v>
      </c>
      <c r="O560" s="7"/>
      <c r="P560" s="7"/>
      <c r="Q560" s="7"/>
      <c r="S560"/>
    </row>
    <row r="561" spans="1:19" x14ac:dyDescent="0.3">
      <c r="A561" s="1">
        <v>1040</v>
      </c>
      <c r="B561" s="2">
        <v>44941</v>
      </c>
      <c r="C561" s="1" t="s">
        <v>29</v>
      </c>
      <c r="D561" s="1" t="s">
        <v>50</v>
      </c>
      <c r="E561" s="1">
        <v>8601.77</v>
      </c>
      <c r="F561" s="1">
        <v>19</v>
      </c>
      <c r="G561" s="1" t="s">
        <v>16</v>
      </c>
      <c r="H561" s="1">
        <v>342.3</v>
      </c>
      <c r="I561" s="1">
        <v>768.06</v>
      </c>
      <c r="J561" s="1" t="s">
        <v>17</v>
      </c>
      <c r="K561" s="1">
        <v>0.09</v>
      </c>
      <c r="L561" s="1" t="s">
        <v>28</v>
      </c>
      <c r="M561" s="1" t="s">
        <v>19</v>
      </c>
      <c r="N561" s="1">
        <f>SUM(Table3[[#This Row],[Unit_Price]]-Table3[[#This Row],[Unit_Cost]])</f>
        <v>425.75999999999993</v>
      </c>
      <c r="O561" s="7"/>
      <c r="P561" s="7"/>
      <c r="Q561" s="7"/>
      <c r="S561"/>
    </row>
    <row r="562" spans="1:19" x14ac:dyDescent="0.3">
      <c r="A562" s="1">
        <v>1074</v>
      </c>
      <c r="B562" s="2">
        <v>44930</v>
      </c>
      <c r="C562" s="1" t="s">
        <v>32</v>
      </c>
      <c r="D562" s="1" t="s">
        <v>44</v>
      </c>
      <c r="E562" s="1">
        <v>7508.72</v>
      </c>
      <c r="F562" s="1">
        <v>38</v>
      </c>
      <c r="G562" s="1" t="s">
        <v>16</v>
      </c>
      <c r="H562" s="1">
        <v>1394.74</v>
      </c>
      <c r="I562" s="1">
        <v>1848.69</v>
      </c>
      <c r="J562" s="1" t="s">
        <v>17</v>
      </c>
      <c r="K562" s="1">
        <v>0</v>
      </c>
      <c r="L562" s="1" t="s">
        <v>25</v>
      </c>
      <c r="M562" s="1" t="s">
        <v>21</v>
      </c>
      <c r="N562" s="1">
        <f>SUM(Table3[[#This Row],[Unit_Price]]-Table3[[#This Row],[Unit_Cost]])</f>
        <v>453.95000000000005</v>
      </c>
      <c r="O562" s="7"/>
      <c r="P562" s="7"/>
      <c r="Q562" s="7"/>
      <c r="S562"/>
    </row>
    <row r="563" spans="1:19" x14ac:dyDescent="0.3">
      <c r="A563" s="1">
        <v>1043</v>
      </c>
      <c r="B563" s="2">
        <v>45275</v>
      </c>
      <c r="C563" s="1" t="s">
        <v>22</v>
      </c>
      <c r="D563" s="1" t="s">
        <v>45</v>
      </c>
      <c r="E563" s="1">
        <v>4448.18</v>
      </c>
      <c r="F563" s="1">
        <v>6</v>
      </c>
      <c r="G563" s="1" t="s">
        <v>26</v>
      </c>
      <c r="H563" s="1">
        <v>563.59</v>
      </c>
      <c r="I563" s="1">
        <v>838.97</v>
      </c>
      <c r="J563" s="1" t="s">
        <v>27</v>
      </c>
      <c r="K563" s="1">
        <v>0.17</v>
      </c>
      <c r="L563" s="1" t="s">
        <v>28</v>
      </c>
      <c r="M563" s="1" t="s">
        <v>19</v>
      </c>
      <c r="N563" s="1">
        <f>SUM(Table3[[#This Row],[Unit_Price]]-Table3[[#This Row],[Unit_Cost]])</f>
        <v>275.38</v>
      </c>
      <c r="O563" s="7"/>
      <c r="P563" s="7"/>
      <c r="Q563" s="7"/>
      <c r="S563"/>
    </row>
    <row r="564" spans="1:19" x14ac:dyDescent="0.3">
      <c r="A564" s="1">
        <v>1044</v>
      </c>
      <c r="B564" s="2">
        <v>45136</v>
      </c>
      <c r="C564" s="1" t="s">
        <v>33</v>
      </c>
      <c r="D564" s="1" t="s">
        <v>46</v>
      </c>
      <c r="E564" s="1">
        <v>6144.41</v>
      </c>
      <c r="F564" s="1">
        <v>47</v>
      </c>
      <c r="G564" s="1" t="s">
        <v>31</v>
      </c>
      <c r="H564" s="1">
        <v>1512.34</v>
      </c>
      <c r="I564" s="1">
        <v>1830.76</v>
      </c>
      <c r="J564" s="1" t="s">
        <v>27</v>
      </c>
      <c r="K564" s="1">
        <v>0.12</v>
      </c>
      <c r="L564" s="1" t="s">
        <v>25</v>
      </c>
      <c r="M564" s="1" t="s">
        <v>19</v>
      </c>
      <c r="N564" s="1">
        <f>SUM(Table3[[#This Row],[Unit_Price]]-Table3[[#This Row],[Unit_Cost]])</f>
        <v>318.42000000000007</v>
      </c>
      <c r="O564" s="7"/>
      <c r="P564" s="7"/>
      <c r="Q564" s="7"/>
      <c r="S564"/>
    </row>
    <row r="565" spans="1:19" x14ac:dyDescent="0.3">
      <c r="A565" s="1">
        <v>1029</v>
      </c>
      <c r="B565" s="2">
        <v>45087</v>
      </c>
      <c r="C565" s="1" t="s">
        <v>32</v>
      </c>
      <c r="D565" s="1" t="s">
        <v>47</v>
      </c>
      <c r="E565" s="1">
        <v>1687.62</v>
      </c>
      <c r="F565" s="1">
        <v>15</v>
      </c>
      <c r="G565" s="1" t="s">
        <v>26</v>
      </c>
      <c r="H565" s="1">
        <v>498.27</v>
      </c>
      <c r="I565" s="1">
        <v>634.16</v>
      </c>
      <c r="J565" s="1" t="s">
        <v>17</v>
      </c>
      <c r="K565" s="1">
        <v>0.11</v>
      </c>
      <c r="L565" s="1" t="s">
        <v>28</v>
      </c>
      <c r="M565" s="1" t="s">
        <v>21</v>
      </c>
      <c r="N565" s="1">
        <f>SUM(Table3[[#This Row],[Unit_Price]]-Table3[[#This Row],[Unit_Cost]])</f>
        <v>135.88999999999999</v>
      </c>
      <c r="O565" s="7"/>
      <c r="P565" s="7"/>
      <c r="Q565" s="7"/>
      <c r="S565"/>
    </row>
    <row r="566" spans="1:19" x14ac:dyDescent="0.3">
      <c r="A566" s="1">
        <v>1013</v>
      </c>
      <c r="B566" s="2">
        <v>44942</v>
      </c>
      <c r="C566" s="1" t="s">
        <v>32</v>
      </c>
      <c r="D566" s="1" t="s">
        <v>48</v>
      </c>
      <c r="E566" s="1">
        <v>6769.09</v>
      </c>
      <c r="F566" s="1">
        <v>20</v>
      </c>
      <c r="G566" s="1" t="s">
        <v>26</v>
      </c>
      <c r="H566" s="1">
        <v>3356.62</v>
      </c>
      <c r="I566" s="1">
        <v>3759.0099999999902</v>
      </c>
      <c r="J566" s="1" t="s">
        <v>17</v>
      </c>
      <c r="K566" s="1">
        <v>0.05</v>
      </c>
      <c r="L566" s="1" t="s">
        <v>28</v>
      </c>
      <c r="M566" s="1" t="s">
        <v>21</v>
      </c>
      <c r="N566" s="1">
        <f>SUM(Table3[[#This Row],[Unit_Price]]-Table3[[#This Row],[Unit_Cost]])</f>
        <v>402.38999999999032</v>
      </c>
      <c r="O566" s="7"/>
      <c r="P566" s="7"/>
      <c r="Q566" s="7"/>
      <c r="S566"/>
    </row>
    <row r="567" spans="1:19" x14ac:dyDescent="0.3">
      <c r="A567" s="1">
        <v>1012</v>
      </c>
      <c r="B567" s="2">
        <v>45034</v>
      </c>
      <c r="C567" s="1" t="s">
        <v>33</v>
      </c>
      <c r="D567" s="1" t="s">
        <v>49</v>
      </c>
      <c r="E567" s="1">
        <v>1874.61</v>
      </c>
      <c r="F567" s="1">
        <v>9</v>
      </c>
      <c r="G567" s="1" t="s">
        <v>31</v>
      </c>
      <c r="H567" s="1">
        <v>709.97</v>
      </c>
      <c r="I567" s="1">
        <v>1029.71</v>
      </c>
      <c r="J567" s="1" t="s">
        <v>17</v>
      </c>
      <c r="K567" s="1">
        <v>0.13</v>
      </c>
      <c r="L567" s="1" t="s">
        <v>25</v>
      </c>
      <c r="M567" s="1" t="s">
        <v>21</v>
      </c>
      <c r="N567" s="1">
        <f>SUM(Table3[[#This Row],[Unit_Price]]-Table3[[#This Row],[Unit_Cost]])</f>
        <v>319.74</v>
      </c>
      <c r="O567" s="7"/>
      <c r="P567" s="7"/>
      <c r="Q567" s="7"/>
      <c r="S567"/>
    </row>
    <row r="568" spans="1:19" x14ac:dyDescent="0.3">
      <c r="A568" s="1">
        <v>1095</v>
      </c>
      <c r="B568" s="2">
        <v>45237</v>
      </c>
      <c r="C568" s="1" t="s">
        <v>29</v>
      </c>
      <c r="D568" s="1" t="s">
        <v>50</v>
      </c>
      <c r="E568" s="1">
        <v>6970.1</v>
      </c>
      <c r="F568" s="1">
        <v>32</v>
      </c>
      <c r="G568" s="1" t="s">
        <v>26</v>
      </c>
      <c r="H568" s="1">
        <v>4266.6400000000003</v>
      </c>
      <c r="I568" s="1">
        <v>4523.3599999999997</v>
      </c>
      <c r="J568" s="1" t="s">
        <v>27</v>
      </c>
      <c r="K568" s="1">
        <v>0.3</v>
      </c>
      <c r="L568" s="1" t="s">
        <v>25</v>
      </c>
      <c r="M568" s="1" t="s">
        <v>21</v>
      </c>
      <c r="N568" s="1">
        <f>SUM(Table3[[#This Row],[Unit_Price]]-Table3[[#This Row],[Unit_Cost]])</f>
        <v>256.71999999999935</v>
      </c>
      <c r="O568" s="7"/>
      <c r="P568" s="7"/>
      <c r="Q568" s="7"/>
      <c r="S568"/>
    </row>
    <row r="569" spans="1:19" x14ac:dyDescent="0.3">
      <c r="A569" s="1">
        <v>1046</v>
      </c>
      <c r="B569" s="2">
        <v>45153</v>
      </c>
      <c r="C569" s="1" t="s">
        <v>33</v>
      </c>
      <c r="D569" s="1" t="s">
        <v>44</v>
      </c>
      <c r="E569" s="1">
        <v>2373.02</v>
      </c>
      <c r="F569" s="1">
        <v>4</v>
      </c>
      <c r="G569" s="1" t="s">
        <v>16</v>
      </c>
      <c r="H569" s="1">
        <v>4095.1</v>
      </c>
      <c r="I569" s="1">
        <v>4134.55</v>
      </c>
      <c r="J569" s="1" t="s">
        <v>17</v>
      </c>
      <c r="K569" s="1">
        <v>0.09</v>
      </c>
      <c r="L569" s="1" t="s">
        <v>25</v>
      </c>
      <c r="M569" s="1" t="s">
        <v>21</v>
      </c>
      <c r="N569" s="1">
        <f>SUM(Table3[[#This Row],[Unit_Price]]-Table3[[#This Row],[Unit_Cost]])</f>
        <v>39.450000000000273</v>
      </c>
      <c r="O569" s="7"/>
      <c r="P569" s="7"/>
      <c r="Q569" s="7"/>
      <c r="S569"/>
    </row>
    <row r="570" spans="1:19" x14ac:dyDescent="0.3">
      <c r="A570" s="1">
        <v>1002</v>
      </c>
      <c r="B570" s="2">
        <v>45096</v>
      </c>
      <c r="C570" s="1" t="s">
        <v>32</v>
      </c>
      <c r="D570" s="1" t="s">
        <v>45</v>
      </c>
      <c r="E570" s="1">
        <v>1263.76</v>
      </c>
      <c r="F570" s="1">
        <v>18</v>
      </c>
      <c r="G570" s="1" t="s">
        <v>24</v>
      </c>
      <c r="H570" s="1">
        <v>117.63</v>
      </c>
      <c r="I570" s="1">
        <v>576.44000000000005</v>
      </c>
      <c r="J570" s="1" t="s">
        <v>27</v>
      </c>
      <c r="K570" s="1">
        <v>0.18</v>
      </c>
      <c r="L570" s="1" t="s">
        <v>28</v>
      </c>
      <c r="M570" s="1" t="s">
        <v>21</v>
      </c>
      <c r="N570" s="1">
        <f>SUM(Table3[[#This Row],[Unit_Price]]-Table3[[#This Row],[Unit_Cost]])</f>
        <v>458.81000000000006</v>
      </c>
      <c r="O570" s="7"/>
      <c r="P570" s="7"/>
      <c r="Q570" s="7"/>
      <c r="S570"/>
    </row>
    <row r="571" spans="1:19" x14ac:dyDescent="0.3">
      <c r="A571" s="1">
        <v>1035</v>
      </c>
      <c r="B571" s="2">
        <v>44960</v>
      </c>
      <c r="C571" s="1" t="s">
        <v>29</v>
      </c>
      <c r="D571" s="1" t="s">
        <v>46</v>
      </c>
      <c r="E571" s="1">
        <v>1736.32</v>
      </c>
      <c r="F571" s="1">
        <v>5</v>
      </c>
      <c r="G571" s="1" t="s">
        <v>24</v>
      </c>
      <c r="H571" s="1">
        <v>4483.8500000000004</v>
      </c>
      <c r="I571" s="1">
        <v>4795.42</v>
      </c>
      <c r="J571" s="1" t="s">
        <v>17</v>
      </c>
      <c r="K571" s="1">
        <v>0.23</v>
      </c>
      <c r="L571" s="1" t="s">
        <v>18</v>
      </c>
      <c r="M571" s="1" t="s">
        <v>19</v>
      </c>
      <c r="N571" s="1">
        <f>SUM(Table3[[#This Row],[Unit_Price]]-Table3[[#This Row],[Unit_Cost]])</f>
        <v>311.56999999999971</v>
      </c>
      <c r="O571" s="7"/>
      <c r="P571" s="7"/>
      <c r="Q571" s="7"/>
      <c r="S571"/>
    </row>
    <row r="572" spans="1:19" x14ac:dyDescent="0.3">
      <c r="A572" s="1">
        <v>1087</v>
      </c>
      <c r="B572" s="2">
        <v>45177</v>
      </c>
      <c r="C572" s="1" t="s">
        <v>29</v>
      </c>
      <c r="D572" s="1" t="s">
        <v>47</v>
      </c>
      <c r="E572" s="1">
        <v>119.72</v>
      </c>
      <c r="F572" s="1">
        <v>20</v>
      </c>
      <c r="G572" s="1" t="s">
        <v>26</v>
      </c>
      <c r="H572" s="1">
        <v>193.27</v>
      </c>
      <c r="I572" s="1">
        <v>297.69</v>
      </c>
      <c r="J572" s="1" t="s">
        <v>27</v>
      </c>
      <c r="K572" s="1">
        <v>0.22</v>
      </c>
      <c r="L572" s="1" t="s">
        <v>18</v>
      </c>
      <c r="M572" s="1" t="s">
        <v>19</v>
      </c>
      <c r="N572" s="1">
        <f>SUM(Table3[[#This Row],[Unit_Price]]-Table3[[#This Row],[Unit_Cost]])</f>
        <v>104.41999999999999</v>
      </c>
      <c r="O572" s="7"/>
      <c r="P572" s="7"/>
      <c r="Q572" s="7"/>
      <c r="S572"/>
    </row>
    <row r="573" spans="1:19" x14ac:dyDescent="0.3">
      <c r="A573" s="1">
        <v>1081</v>
      </c>
      <c r="B573" s="2">
        <v>45173</v>
      </c>
      <c r="C573" s="1" t="s">
        <v>33</v>
      </c>
      <c r="D573" s="1" t="s">
        <v>48</v>
      </c>
      <c r="E573" s="1">
        <v>7215.52</v>
      </c>
      <c r="F573" s="1">
        <v>23</v>
      </c>
      <c r="G573" s="1" t="s">
        <v>31</v>
      </c>
      <c r="H573" s="1">
        <v>1236.25</v>
      </c>
      <c r="I573" s="1">
        <v>1543.38</v>
      </c>
      <c r="J573" s="1" t="s">
        <v>27</v>
      </c>
      <c r="K573" s="1">
        <v>0.1</v>
      </c>
      <c r="L573" s="1" t="s">
        <v>25</v>
      </c>
      <c r="M573" s="1" t="s">
        <v>19</v>
      </c>
      <c r="N573" s="1">
        <f>SUM(Table3[[#This Row],[Unit_Price]]-Table3[[#This Row],[Unit_Cost]])</f>
        <v>307.13000000000011</v>
      </c>
      <c r="O573" s="7"/>
      <c r="P573" s="7"/>
      <c r="Q573" s="7"/>
      <c r="S573"/>
    </row>
    <row r="574" spans="1:19" x14ac:dyDescent="0.3">
      <c r="A574" s="1">
        <v>1090</v>
      </c>
      <c r="B574" s="2">
        <v>45195</v>
      </c>
      <c r="C574" s="1" t="s">
        <v>32</v>
      </c>
      <c r="D574" s="1" t="s">
        <v>49</v>
      </c>
      <c r="E574" s="1">
        <v>7350.77</v>
      </c>
      <c r="F574" s="1">
        <v>11</v>
      </c>
      <c r="G574" s="1" t="s">
        <v>31</v>
      </c>
      <c r="H574" s="1">
        <v>210.33</v>
      </c>
      <c r="I574" s="1">
        <v>552.29</v>
      </c>
      <c r="J574" s="1" t="s">
        <v>17</v>
      </c>
      <c r="K574" s="1">
        <v>0.18</v>
      </c>
      <c r="L574" s="1" t="s">
        <v>18</v>
      </c>
      <c r="M574" s="1" t="s">
        <v>21</v>
      </c>
      <c r="N574" s="1">
        <f>SUM(Table3[[#This Row],[Unit_Price]]-Table3[[#This Row],[Unit_Cost]])</f>
        <v>341.95999999999992</v>
      </c>
      <c r="O574" s="7"/>
      <c r="P574" s="7"/>
      <c r="Q574" s="7"/>
      <c r="S574"/>
    </row>
    <row r="575" spans="1:19" x14ac:dyDescent="0.3">
      <c r="A575" s="1">
        <v>1008</v>
      </c>
      <c r="B575" s="2">
        <v>45067</v>
      </c>
      <c r="C575" s="1" t="s">
        <v>22</v>
      </c>
      <c r="D575" s="1" t="s">
        <v>50</v>
      </c>
      <c r="E575" s="1">
        <v>5197.84</v>
      </c>
      <c r="F575" s="1">
        <v>37</v>
      </c>
      <c r="G575" s="1" t="s">
        <v>16</v>
      </c>
      <c r="H575" s="1">
        <v>1712.43</v>
      </c>
      <c r="I575" s="1">
        <v>1980.06</v>
      </c>
      <c r="J575" s="1" t="s">
        <v>27</v>
      </c>
      <c r="K575" s="1">
        <v>0.26</v>
      </c>
      <c r="L575" s="1" t="s">
        <v>18</v>
      </c>
      <c r="M575" s="1" t="s">
        <v>19</v>
      </c>
      <c r="N575" s="1">
        <f>SUM(Table3[[#This Row],[Unit_Price]]-Table3[[#This Row],[Unit_Cost]])</f>
        <v>267.62999999999988</v>
      </c>
      <c r="O575" s="7"/>
      <c r="P575" s="7"/>
      <c r="Q575" s="7"/>
      <c r="S575"/>
    </row>
    <row r="576" spans="1:19" x14ac:dyDescent="0.3">
      <c r="A576" s="1">
        <v>1093</v>
      </c>
      <c r="B576" s="2">
        <v>45200</v>
      </c>
      <c r="C576" s="1" t="s">
        <v>32</v>
      </c>
      <c r="D576" s="1" t="s">
        <v>44</v>
      </c>
      <c r="E576" s="1">
        <v>1697.49</v>
      </c>
      <c r="F576" s="1">
        <v>22</v>
      </c>
      <c r="G576" s="1" t="s">
        <v>31</v>
      </c>
      <c r="H576" s="1">
        <v>2593.64</v>
      </c>
      <c r="I576" s="1">
        <v>2955.5099999999902</v>
      </c>
      <c r="J576" s="1" t="s">
        <v>17</v>
      </c>
      <c r="K576" s="1">
        <v>0</v>
      </c>
      <c r="L576" s="1" t="s">
        <v>25</v>
      </c>
      <c r="M576" s="1" t="s">
        <v>21</v>
      </c>
      <c r="N576" s="1">
        <f>SUM(Table3[[#This Row],[Unit_Price]]-Table3[[#This Row],[Unit_Cost]])</f>
        <v>361.86999999999034</v>
      </c>
      <c r="O576" s="7"/>
      <c r="P576" s="7"/>
      <c r="Q576" s="7"/>
      <c r="S576"/>
    </row>
    <row r="577" spans="1:19" x14ac:dyDescent="0.3">
      <c r="A577" s="1">
        <v>1026</v>
      </c>
      <c r="B577" s="2">
        <v>45022</v>
      </c>
      <c r="C577" s="1" t="s">
        <v>14</v>
      </c>
      <c r="D577" s="1" t="s">
        <v>45</v>
      </c>
      <c r="E577" s="1">
        <v>927.19</v>
      </c>
      <c r="F577" s="1">
        <v>4</v>
      </c>
      <c r="G577" s="1" t="s">
        <v>31</v>
      </c>
      <c r="H577" s="1">
        <v>3993.39</v>
      </c>
      <c r="I577" s="1">
        <v>4288.3</v>
      </c>
      <c r="J577" s="1" t="s">
        <v>27</v>
      </c>
      <c r="K577" s="1">
        <v>0.13</v>
      </c>
      <c r="L577" s="1" t="s">
        <v>28</v>
      </c>
      <c r="M577" s="1" t="s">
        <v>19</v>
      </c>
      <c r="N577" s="1">
        <f>SUM(Table3[[#This Row],[Unit_Price]]-Table3[[#This Row],[Unit_Cost]])</f>
        <v>294.91000000000031</v>
      </c>
      <c r="O577" s="7"/>
      <c r="P577" s="7"/>
      <c r="Q577" s="7"/>
      <c r="S577"/>
    </row>
    <row r="578" spans="1:19" x14ac:dyDescent="0.3">
      <c r="A578" s="1">
        <v>1074</v>
      </c>
      <c r="B578" s="2">
        <v>45153</v>
      </c>
      <c r="C578" s="1" t="s">
        <v>22</v>
      </c>
      <c r="D578" s="1" t="s">
        <v>46</v>
      </c>
      <c r="E578" s="1">
        <v>289.38</v>
      </c>
      <c r="F578" s="1">
        <v>29</v>
      </c>
      <c r="G578" s="1" t="s">
        <v>16</v>
      </c>
      <c r="H578" s="1">
        <v>1723.01</v>
      </c>
      <c r="I578" s="1">
        <v>2197.42</v>
      </c>
      <c r="J578" s="1" t="s">
        <v>27</v>
      </c>
      <c r="K578" s="1">
        <v>7.0000000000000007E-2</v>
      </c>
      <c r="L578" s="1" t="s">
        <v>25</v>
      </c>
      <c r="M578" s="1" t="s">
        <v>21</v>
      </c>
      <c r="N578" s="1">
        <f>SUM(Table3[[#This Row],[Unit_Price]]-Table3[[#This Row],[Unit_Cost]])</f>
        <v>474.41000000000008</v>
      </c>
      <c r="O578" s="7"/>
      <c r="P578" s="7"/>
      <c r="Q578" s="7"/>
      <c r="S578"/>
    </row>
    <row r="579" spans="1:19" x14ac:dyDescent="0.3">
      <c r="A579" s="1">
        <v>1090</v>
      </c>
      <c r="B579" s="2">
        <v>44965</v>
      </c>
      <c r="C579" s="1" t="s">
        <v>29</v>
      </c>
      <c r="D579" s="1" t="s">
        <v>47</v>
      </c>
      <c r="E579" s="1">
        <v>1740.91</v>
      </c>
      <c r="F579" s="1">
        <v>44</v>
      </c>
      <c r="G579" s="1" t="s">
        <v>26</v>
      </c>
      <c r="H579" s="1">
        <v>3542.18</v>
      </c>
      <c r="I579" s="1">
        <v>3578.49</v>
      </c>
      <c r="J579" s="1" t="s">
        <v>17</v>
      </c>
      <c r="K579" s="1">
        <v>0.12</v>
      </c>
      <c r="L579" s="1" t="s">
        <v>18</v>
      </c>
      <c r="M579" s="1" t="s">
        <v>19</v>
      </c>
      <c r="N579" s="1">
        <f>SUM(Table3[[#This Row],[Unit_Price]]-Table3[[#This Row],[Unit_Cost]])</f>
        <v>36.309999999999945</v>
      </c>
      <c r="O579" s="7"/>
      <c r="P579" s="7"/>
      <c r="Q579" s="7"/>
      <c r="S579"/>
    </row>
    <row r="580" spans="1:19" x14ac:dyDescent="0.3">
      <c r="A580" s="1">
        <v>1034</v>
      </c>
      <c r="B580" s="2">
        <v>45228</v>
      </c>
      <c r="C580" s="1" t="s">
        <v>22</v>
      </c>
      <c r="D580" s="1" t="s">
        <v>48</v>
      </c>
      <c r="E580" s="1">
        <v>8919.4699999999993</v>
      </c>
      <c r="F580" s="1">
        <v>34</v>
      </c>
      <c r="G580" s="1" t="s">
        <v>24</v>
      </c>
      <c r="H580" s="1">
        <v>978.15</v>
      </c>
      <c r="I580" s="1">
        <v>1040.21</v>
      </c>
      <c r="J580" s="1" t="s">
        <v>27</v>
      </c>
      <c r="K580" s="1">
        <v>0.12</v>
      </c>
      <c r="L580" s="1" t="s">
        <v>28</v>
      </c>
      <c r="M580" s="1" t="s">
        <v>21</v>
      </c>
      <c r="N580" s="1">
        <f>SUM(Table3[[#This Row],[Unit_Price]]-Table3[[#This Row],[Unit_Cost]])</f>
        <v>62.060000000000059</v>
      </c>
      <c r="O580" s="7"/>
      <c r="P580" s="7"/>
      <c r="Q580" s="7"/>
      <c r="S580"/>
    </row>
    <row r="581" spans="1:19" x14ac:dyDescent="0.3">
      <c r="A581" s="1">
        <v>1007</v>
      </c>
      <c r="B581" s="2">
        <v>44955</v>
      </c>
      <c r="C581" s="1" t="s">
        <v>29</v>
      </c>
      <c r="D581" s="1" t="s">
        <v>49</v>
      </c>
      <c r="E581" s="1">
        <v>2491.21</v>
      </c>
      <c r="F581" s="1">
        <v>13</v>
      </c>
      <c r="G581" s="1" t="s">
        <v>16</v>
      </c>
      <c r="H581" s="1">
        <v>3765.46</v>
      </c>
      <c r="I581" s="1">
        <v>3860.56</v>
      </c>
      <c r="J581" s="1" t="s">
        <v>17</v>
      </c>
      <c r="K581" s="1">
        <v>0.22</v>
      </c>
      <c r="L581" s="1" t="s">
        <v>18</v>
      </c>
      <c r="M581" s="1" t="s">
        <v>21</v>
      </c>
      <c r="N581" s="1">
        <f>SUM(Table3[[#This Row],[Unit_Price]]-Table3[[#This Row],[Unit_Cost]])</f>
        <v>95.099999999999909</v>
      </c>
      <c r="O581" s="7"/>
      <c r="P581" s="7"/>
      <c r="Q581" s="7"/>
      <c r="S581"/>
    </row>
    <row r="582" spans="1:19" x14ac:dyDescent="0.3">
      <c r="A582" s="1">
        <v>1068</v>
      </c>
      <c r="B582" s="2">
        <v>45244</v>
      </c>
      <c r="C582" s="1" t="s">
        <v>29</v>
      </c>
      <c r="D582" s="1" t="s">
        <v>50</v>
      </c>
      <c r="E582" s="1">
        <v>3607.29</v>
      </c>
      <c r="F582" s="1">
        <v>42</v>
      </c>
      <c r="G582" s="1" t="s">
        <v>26</v>
      </c>
      <c r="H582" s="1">
        <v>1218.18</v>
      </c>
      <c r="I582" s="1">
        <v>1566.36</v>
      </c>
      <c r="J582" s="1" t="s">
        <v>17</v>
      </c>
      <c r="K582" s="1">
        <v>0.03</v>
      </c>
      <c r="L582" s="1" t="s">
        <v>28</v>
      </c>
      <c r="M582" s="1" t="s">
        <v>21</v>
      </c>
      <c r="N582" s="1">
        <f>SUM(Table3[[#This Row],[Unit_Price]]-Table3[[#This Row],[Unit_Cost]])</f>
        <v>348.17999999999984</v>
      </c>
      <c r="O582" s="7"/>
      <c r="P582" s="7"/>
      <c r="Q582" s="7"/>
      <c r="S582"/>
    </row>
    <row r="583" spans="1:19" x14ac:dyDescent="0.3">
      <c r="A583" s="1">
        <v>1058</v>
      </c>
      <c r="B583" s="2">
        <v>45171</v>
      </c>
      <c r="C583" s="1" t="s">
        <v>22</v>
      </c>
      <c r="D583" s="1" t="s">
        <v>44</v>
      </c>
      <c r="E583" s="1">
        <v>1142.92</v>
      </c>
      <c r="F583" s="1">
        <v>9</v>
      </c>
      <c r="G583" s="1" t="s">
        <v>16</v>
      </c>
      <c r="H583" s="1">
        <v>760.55</v>
      </c>
      <c r="I583" s="1">
        <v>1086.8899999999901</v>
      </c>
      <c r="J583" s="1" t="s">
        <v>17</v>
      </c>
      <c r="K583" s="1">
        <v>0.15</v>
      </c>
      <c r="L583" s="1" t="s">
        <v>18</v>
      </c>
      <c r="M583" s="1" t="s">
        <v>21</v>
      </c>
      <c r="N583" s="1">
        <f>SUM(Table3[[#This Row],[Unit_Price]]-Table3[[#This Row],[Unit_Cost]])</f>
        <v>326.33999999999014</v>
      </c>
      <c r="O583" s="7"/>
      <c r="P583" s="7"/>
      <c r="Q583" s="7"/>
      <c r="S583"/>
    </row>
    <row r="584" spans="1:19" x14ac:dyDescent="0.3">
      <c r="A584" s="1">
        <v>1075</v>
      </c>
      <c r="B584" s="2">
        <v>45162</v>
      </c>
      <c r="C584" s="1" t="s">
        <v>29</v>
      </c>
      <c r="D584" s="1" t="s">
        <v>45</v>
      </c>
      <c r="E584" s="1">
        <v>2301.38</v>
      </c>
      <c r="F584" s="1">
        <v>42</v>
      </c>
      <c r="G584" s="1" t="s">
        <v>26</v>
      </c>
      <c r="H584" s="1">
        <v>967.77</v>
      </c>
      <c r="I584" s="1">
        <v>1414.88</v>
      </c>
      <c r="J584" s="1" t="s">
        <v>27</v>
      </c>
      <c r="K584" s="1">
        <v>0.17</v>
      </c>
      <c r="L584" s="1" t="s">
        <v>25</v>
      </c>
      <c r="M584" s="1" t="s">
        <v>19</v>
      </c>
      <c r="N584" s="1">
        <f>SUM(Table3[[#This Row],[Unit_Price]]-Table3[[#This Row],[Unit_Cost]])</f>
        <v>447.11000000000013</v>
      </c>
      <c r="O584" s="7"/>
      <c r="P584" s="7"/>
      <c r="Q584" s="7"/>
      <c r="S584"/>
    </row>
    <row r="585" spans="1:19" x14ac:dyDescent="0.3">
      <c r="A585" s="1">
        <v>1029</v>
      </c>
      <c r="B585" s="2">
        <v>45111</v>
      </c>
      <c r="C585" s="1" t="s">
        <v>29</v>
      </c>
      <c r="D585" s="1" t="s">
        <v>46</v>
      </c>
      <c r="E585" s="1">
        <v>5240.32</v>
      </c>
      <c r="F585" s="1">
        <v>31</v>
      </c>
      <c r="G585" s="1" t="s">
        <v>16</v>
      </c>
      <c r="H585" s="1">
        <v>951.21</v>
      </c>
      <c r="I585" s="1">
        <v>1320.32</v>
      </c>
      <c r="J585" s="1" t="s">
        <v>27</v>
      </c>
      <c r="K585" s="1">
        <v>0.15</v>
      </c>
      <c r="L585" s="1" t="s">
        <v>18</v>
      </c>
      <c r="M585" s="1" t="s">
        <v>19</v>
      </c>
      <c r="N585" s="1">
        <f>SUM(Table3[[#This Row],[Unit_Price]]-Table3[[#This Row],[Unit_Cost]])</f>
        <v>369.1099999999999</v>
      </c>
      <c r="O585" s="7"/>
      <c r="P585" s="7"/>
      <c r="Q585" s="7"/>
      <c r="S585"/>
    </row>
    <row r="586" spans="1:19" x14ac:dyDescent="0.3">
      <c r="A586" s="1">
        <v>1036</v>
      </c>
      <c r="B586" s="2">
        <v>45198</v>
      </c>
      <c r="C586" s="1" t="s">
        <v>14</v>
      </c>
      <c r="D586" s="1" t="s">
        <v>47</v>
      </c>
      <c r="E586" s="1">
        <v>6116.75</v>
      </c>
      <c r="F586" s="1">
        <v>7</v>
      </c>
      <c r="G586" s="1" t="s">
        <v>26</v>
      </c>
      <c r="H586" s="1">
        <v>2588.67</v>
      </c>
      <c r="I586" s="1">
        <v>2847.76</v>
      </c>
      <c r="J586" s="1" t="s">
        <v>27</v>
      </c>
      <c r="K586" s="1">
        <v>0.22</v>
      </c>
      <c r="L586" s="1" t="s">
        <v>18</v>
      </c>
      <c r="M586" s="1" t="s">
        <v>21</v>
      </c>
      <c r="N586" s="1">
        <f>SUM(Table3[[#This Row],[Unit_Price]]-Table3[[#This Row],[Unit_Cost]])</f>
        <v>259.09000000000015</v>
      </c>
      <c r="O586" s="7"/>
      <c r="P586" s="7"/>
      <c r="Q586" s="7"/>
      <c r="S586"/>
    </row>
    <row r="587" spans="1:19" x14ac:dyDescent="0.3">
      <c r="A587" s="1">
        <v>1089</v>
      </c>
      <c r="B587" s="2">
        <v>45162</v>
      </c>
      <c r="C587" s="1" t="s">
        <v>32</v>
      </c>
      <c r="D587" s="1" t="s">
        <v>48</v>
      </c>
      <c r="E587" s="1">
        <v>2528.9899999999998</v>
      </c>
      <c r="F587" s="1">
        <v>4</v>
      </c>
      <c r="G587" s="1" t="s">
        <v>16</v>
      </c>
      <c r="H587" s="1">
        <v>4231.75</v>
      </c>
      <c r="I587" s="1">
        <v>4727.75</v>
      </c>
      <c r="J587" s="1" t="s">
        <v>17</v>
      </c>
      <c r="K587" s="1">
        <v>0.12</v>
      </c>
      <c r="L587" s="1" t="s">
        <v>28</v>
      </c>
      <c r="M587" s="1" t="s">
        <v>21</v>
      </c>
      <c r="N587" s="1">
        <f>SUM(Table3[[#This Row],[Unit_Price]]-Table3[[#This Row],[Unit_Cost]])</f>
        <v>496</v>
      </c>
      <c r="O587" s="7"/>
      <c r="P587" s="7"/>
      <c r="Q587" s="7"/>
      <c r="S587"/>
    </row>
    <row r="588" spans="1:19" x14ac:dyDescent="0.3">
      <c r="A588" s="1">
        <v>1021</v>
      </c>
      <c r="B588" s="2">
        <v>45165</v>
      </c>
      <c r="C588" s="1" t="s">
        <v>32</v>
      </c>
      <c r="D588" s="1" t="s">
        <v>49</v>
      </c>
      <c r="E588" s="1">
        <v>671.55</v>
      </c>
      <c r="F588" s="1">
        <v>19</v>
      </c>
      <c r="G588" s="1" t="s">
        <v>26</v>
      </c>
      <c r="H588" s="1">
        <v>444.05</v>
      </c>
      <c r="I588" s="1">
        <v>584.44000000000005</v>
      </c>
      <c r="J588" s="1" t="s">
        <v>17</v>
      </c>
      <c r="K588" s="1">
        <v>0.28000000000000003</v>
      </c>
      <c r="L588" s="1" t="s">
        <v>18</v>
      </c>
      <c r="M588" s="1" t="s">
        <v>21</v>
      </c>
      <c r="N588" s="1">
        <f>SUM(Table3[[#This Row],[Unit_Price]]-Table3[[#This Row],[Unit_Cost]])</f>
        <v>140.39000000000004</v>
      </c>
      <c r="O588" s="7"/>
      <c r="P588" s="7"/>
      <c r="Q588" s="7"/>
      <c r="S588"/>
    </row>
    <row r="589" spans="1:19" x14ac:dyDescent="0.3">
      <c r="A589" s="1">
        <v>1036</v>
      </c>
      <c r="B589" s="2">
        <v>45192</v>
      </c>
      <c r="C589" s="1" t="s">
        <v>14</v>
      </c>
      <c r="D589" s="1" t="s">
        <v>50</v>
      </c>
      <c r="E589" s="1">
        <v>3971.23</v>
      </c>
      <c r="F589" s="1">
        <v>42</v>
      </c>
      <c r="G589" s="1" t="s">
        <v>16</v>
      </c>
      <c r="H589" s="1">
        <v>3549.43</v>
      </c>
      <c r="I589" s="1">
        <v>3967.6899999999901</v>
      </c>
      <c r="J589" s="1" t="s">
        <v>27</v>
      </c>
      <c r="K589" s="1">
        <v>0.14000000000000001</v>
      </c>
      <c r="L589" s="1" t="s">
        <v>25</v>
      </c>
      <c r="M589" s="1" t="s">
        <v>19</v>
      </c>
      <c r="N589" s="1">
        <f>SUM(Table3[[#This Row],[Unit_Price]]-Table3[[#This Row],[Unit_Cost]])</f>
        <v>418.25999999999021</v>
      </c>
      <c r="O589" s="7"/>
      <c r="P589" s="7"/>
      <c r="Q589" s="7"/>
      <c r="S589"/>
    </row>
    <row r="590" spans="1:19" x14ac:dyDescent="0.3">
      <c r="A590" s="1">
        <v>1010</v>
      </c>
      <c r="B590" s="2">
        <v>45285</v>
      </c>
      <c r="C590" s="1" t="s">
        <v>22</v>
      </c>
      <c r="D590" s="1" t="s">
        <v>44</v>
      </c>
      <c r="E590" s="1">
        <v>2418.61</v>
      </c>
      <c r="F590" s="1">
        <v>30</v>
      </c>
      <c r="G590" s="1" t="s">
        <v>24</v>
      </c>
      <c r="H590" s="1">
        <v>3289.01</v>
      </c>
      <c r="I590" s="1">
        <v>3508.14</v>
      </c>
      <c r="J590" s="1" t="s">
        <v>27</v>
      </c>
      <c r="K590" s="1">
        <v>0.17</v>
      </c>
      <c r="L590" s="1" t="s">
        <v>25</v>
      </c>
      <c r="M590" s="1" t="s">
        <v>21</v>
      </c>
      <c r="N590" s="1">
        <f>SUM(Table3[[#This Row],[Unit_Price]]-Table3[[#This Row],[Unit_Cost]])</f>
        <v>219.12999999999965</v>
      </c>
      <c r="O590" s="7"/>
      <c r="P590" s="7"/>
      <c r="Q590" s="7"/>
      <c r="S590"/>
    </row>
    <row r="591" spans="1:19" x14ac:dyDescent="0.3">
      <c r="A591" s="1">
        <v>1073</v>
      </c>
      <c r="B591" s="2">
        <v>45266</v>
      </c>
      <c r="C591" s="1" t="s">
        <v>33</v>
      </c>
      <c r="D591" s="1" t="s">
        <v>45</v>
      </c>
      <c r="E591" s="1">
        <v>2273.58</v>
      </c>
      <c r="F591" s="1">
        <v>31</v>
      </c>
      <c r="G591" s="1" t="s">
        <v>24</v>
      </c>
      <c r="H591" s="1">
        <v>4368.97</v>
      </c>
      <c r="I591" s="1">
        <v>4696.8500000000004</v>
      </c>
      <c r="J591" s="1" t="s">
        <v>17</v>
      </c>
      <c r="K591" s="1">
        <v>0.25</v>
      </c>
      <c r="L591" s="1" t="s">
        <v>25</v>
      </c>
      <c r="M591" s="1" t="s">
        <v>21</v>
      </c>
      <c r="N591" s="1">
        <f>SUM(Table3[[#This Row],[Unit_Price]]-Table3[[#This Row],[Unit_Cost]])</f>
        <v>327.88000000000011</v>
      </c>
      <c r="O591" s="7"/>
      <c r="P591" s="7"/>
      <c r="Q591" s="7"/>
      <c r="S591"/>
    </row>
    <row r="592" spans="1:19" x14ac:dyDescent="0.3">
      <c r="A592" s="1">
        <v>1024</v>
      </c>
      <c r="B592" s="2">
        <v>44991</v>
      </c>
      <c r="C592" s="1" t="s">
        <v>33</v>
      </c>
      <c r="D592" s="1" t="s">
        <v>46</v>
      </c>
      <c r="E592" s="1">
        <v>9602.64</v>
      </c>
      <c r="F592" s="1">
        <v>35</v>
      </c>
      <c r="G592" s="1" t="s">
        <v>31</v>
      </c>
      <c r="H592" s="1">
        <v>1258.53</v>
      </c>
      <c r="I592" s="1">
        <v>1624.8899999999901</v>
      </c>
      <c r="J592" s="1" t="s">
        <v>27</v>
      </c>
      <c r="K592" s="1">
        <v>0.08</v>
      </c>
      <c r="L592" s="1" t="s">
        <v>28</v>
      </c>
      <c r="M592" s="1" t="s">
        <v>19</v>
      </c>
      <c r="N592" s="1">
        <f>SUM(Table3[[#This Row],[Unit_Price]]-Table3[[#This Row],[Unit_Cost]])</f>
        <v>366.35999999999012</v>
      </c>
      <c r="O592" s="7"/>
      <c r="P592" s="7"/>
      <c r="Q592" s="7"/>
      <c r="S592"/>
    </row>
    <row r="593" spans="1:19" x14ac:dyDescent="0.3">
      <c r="A593" s="1">
        <v>1064</v>
      </c>
      <c r="B593" s="2">
        <v>45103</v>
      </c>
      <c r="C593" s="1" t="s">
        <v>33</v>
      </c>
      <c r="D593" s="1" t="s">
        <v>47</v>
      </c>
      <c r="E593" s="1">
        <v>6201.37</v>
      </c>
      <c r="F593" s="1">
        <v>21</v>
      </c>
      <c r="G593" s="1" t="s">
        <v>26</v>
      </c>
      <c r="H593" s="1">
        <v>2278.04</v>
      </c>
      <c r="I593" s="1">
        <v>2598.58</v>
      </c>
      <c r="J593" s="1" t="s">
        <v>17</v>
      </c>
      <c r="K593" s="1">
        <v>0.02</v>
      </c>
      <c r="L593" s="1" t="s">
        <v>28</v>
      </c>
      <c r="M593" s="1" t="s">
        <v>21</v>
      </c>
      <c r="N593" s="1">
        <f>SUM(Table3[[#This Row],[Unit_Price]]-Table3[[#This Row],[Unit_Cost]])</f>
        <v>320.53999999999996</v>
      </c>
      <c r="O593" s="7"/>
      <c r="P593" s="7"/>
      <c r="Q593" s="7"/>
      <c r="S593"/>
    </row>
    <row r="594" spans="1:19" x14ac:dyDescent="0.3">
      <c r="A594" s="1">
        <v>1099</v>
      </c>
      <c r="B594" s="2">
        <v>44929</v>
      </c>
      <c r="C594" s="1" t="s">
        <v>14</v>
      </c>
      <c r="D594" s="1" t="s">
        <v>48</v>
      </c>
      <c r="E594" s="1">
        <v>5613.1</v>
      </c>
      <c r="F594" s="1">
        <v>31</v>
      </c>
      <c r="G594" s="1" t="s">
        <v>16</v>
      </c>
      <c r="H594" s="1">
        <v>4632.8500000000004</v>
      </c>
      <c r="I594" s="1">
        <v>4711.7</v>
      </c>
      <c r="J594" s="1" t="s">
        <v>27</v>
      </c>
      <c r="K594" s="1">
        <v>0.21</v>
      </c>
      <c r="L594" s="1" t="s">
        <v>18</v>
      </c>
      <c r="M594" s="1" t="s">
        <v>21</v>
      </c>
      <c r="N594" s="1">
        <f>SUM(Table3[[#This Row],[Unit_Price]]-Table3[[#This Row],[Unit_Cost]])</f>
        <v>78.849999999999454</v>
      </c>
      <c r="O594" s="7"/>
      <c r="P594" s="7"/>
      <c r="Q594" s="7"/>
      <c r="S594"/>
    </row>
    <row r="595" spans="1:19" x14ac:dyDescent="0.3">
      <c r="A595" s="1">
        <v>1049</v>
      </c>
      <c r="B595" s="2">
        <v>45068</v>
      </c>
      <c r="C595" s="1" t="s">
        <v>14</v>
      </c>
      <c r="D595" s="1" t="s">
        <v>49</v>
      </c>
      <c r="E595" s="1">
        <v>4216.17</v>
      </c>
      <c r="F595" s="1">
        <v>19</v>
      </c>
      <c r="G595" s="1" t="s">
        <v>26</v>
      </c>
      <c r="H595" s="1">
        <v>3316.97</v>
      </c>
      <c r="I595" s="1">
        <v>3544.02</v>
      </c>
      <c r="J595" s="1" t="s">
        <v>17</v>
      </c>
      <c r="K595" s="1">
        <v>0.14000000000000001</v>
      </c>
      <c r="L595" s="1" t="s">
        <v>18</v>
      </c>
      <c r="M595" s="1" t="s">
        <v>19</v>
      </c>
      <c r="N595" s="1">
        <f>SUM(Table3[[#This Row],[Unit_Price]]-Table3[[#This Row],[Unit_Cost]])</f>
        <v>227.05000000000018</v>
      </c>
      <c r="O595" s="7"/>
      <c r="P595" s="7"/>
      <c r="Q595" s="7"/>
      <c r="S595"/>
    </row>
    <row r="596" spans="1:19" x14ac:dyDescent="0.3">
      <c r="A596" s="1">
        <v>1099</v>
      </c>
      <c r="B596" s="2">
        <v>45084</v>
      </c>
      <c r="C596" s="1" t="s">
        <v>29</v>
      </c>
      <c r="D596" s="1" t="s">
        <v>50</v>
      </c>
      <c r="E596" s="1">
        <v>4346.55</v>
      </c>
      <c r="F596" s="1">
        <v>31</v>
      </c>
      <c r="G596" s="1" t="s">
        <v>24</v>
      </c>
      <c r="H596" s="1">
        <v>1974.4</v>
      </c>
      <c r="I596" s="1">
        <v>2259.5</v>
      </c>
      <c r="J596" s="1" t="s">
        <v>27</v>
      </c>
      <c r="K596" s="1">
        <v>0.27</v>
      </c>
      <c r="L596" s="1" t="s">
        <v>18</v>
      </c>
      <c r="M596" s="1" t="s">
        <v>21</v>
      </c>
      <c r="N596" s="1">
        <f>SUM(Table3[[#This Row],[Unit_Price]]-Table3[[#This Row],[Unit_Cost]])</f>
        <v>285.09999999999991</v>
      </c>
      <c r="O596" s="7"/>
      <c r="P596" s="7"/>
      <c r="Q596" s="7"/>
      <c r="S596"/>
    </row>
    <row r="597" spans="1:19" x14ac:dyDescent="0.3">
      <c r="A597" s="1">
        <v>1036</v>
      </c>
      <c r="B597" s="2">
        <v>45250</v>
      </c>
      <c r="C597" s="1" t="s">
        <v>33</v>
      </c>
      <c r="D597" s="1" t="s">
        <v>44</v>
      </c>
      <c r="E597" s="1">
        <v>5454.96</v>
      </c>
      <c r="F597" s="1">
        <v>32</v>
      </c>
      <c r="G597" s="1" t="s">
        <v>26</v>
      </c>
      <c r="H597" s="1">
        <v>700.49</v>
      </c>
      <c r="I597" s="1">
        <v>1126.52</v>
      </c>
      <c r="J597" s="1" t="s">
        <v>27</v>
      </c>
      <c r="K597" s="1">
        <v>0.28999999999999998</v>
      </c>
      <c r="L597" s="1" t="s">
        <v>28</v>
      </c>
      <c r="M597" s="1" t="s">
        <v>21</v>
      </c>
      <c r="N597" s="1">
        <f>SUM(Table3[[#This Row],[Unit_Price]]-Table3[[#This Row],[Unit_Cost]])</f>
        <v>426.03</v>
      </c>
      <c r="O597" s="7"/>
      <c r="P597" s="7"/>
      <c r="Q597" s="7"/>
      <c r="S597"/>
    </row>
    <row r="598" spans="1:19" x14ac:dyDescent="0.3">
      <c r="A598" s="1">
        <v>1082</v>
      </c>
      <c r="B598" s="2">
        <v>45072</v>
      </c>
      <c r="C598" s="1" t="s">
        <v>22</v>
      </c>
      <c r="D598" s="1" t="s">
        <v>45</v>
      </c>
      <c r="E598" s="1">
        <v>6994.66</v>
      </c>
      <c r="F598" s="1">
        <v>2</v>
      </c>
      <c r="G598" s="1" t="s">
        <v>16</v>
      </c>
      <c r="H598" s="1">
        <v>1349.3</v>
      </c>
      <c r="I598" s="1">
        <v>1576.69</v>
      </c>
      <c r="J598" s="1" t="s">
        <v>17</v>
      </c>
      <c r="K598" s="1">
        <v>0.12</v>
      </c>
      <c r="L598" s="1" t="s">
        <v>28</v>
      </c>
      <c r="M598" s="1" t="s">
        <v>19</v>
      </c>
      <c r="N598" s="1">
        <f>SUM(Table3[[#This Row],[Unit_Price]]-Table3[[#This Row],[Unit_Cost]])</f>
        <v>227.3900000000001</v>
      </c>
      <c r="O598" s="7"/>
      <c r="P598" s="7"/>
      <c r="Q598" s="7"/>
      <c r="S598"/>
    </row>
    <row r="599" spans="1:19" x14ac:dyDescent="0.3">
      <c r="A599" s="1">
        <v>1096</v>
      </c>
      <c r="B599" s="2">
        <v>45219</v>
      </c>
      <c r="C599" s="1" t="s">
        <v>22</v>
      </c>
      <c r="D599" s="1" t="s">
        <v>46</v>
      </c>
      <c r="E599" s="1">
        <v>7051.25</v>
      </c>
      <c r="F599" s="1">
        <v>10</v>
      </c>
      <c r="G599" s="1" t="s">
        <v>26</v>
      </c>
      <c r="H599" s="1">
        <v>2927.02</v>
      </c>
      <c r="I599" s="1">
        <v>3387.21</v>
      </c>
      <c r="J599" s="1" t="s">
        <v>17</v>
      </c>
      <c r="K599" s="1">
        <v>0.12</v>
      </c>
      <c r="L599" s="1" t="s">
        <v>18</v>
      </c>
      <c r="M599" s="1" t="s">
        <v>21</v>
      </c>
      <c r="N599" s="1">
        <f>SUM(Table3[[#This Row],[Unit_Price]]-Table3[[#This Row],[Unit_Cost]])</f>
        <v>460.19000000000005</v>
      </c>
      <c r="O599" s="7"/>
      <c r="P599" s="7"/>
      <c r="Q599" s="7"/>
      <c r="S599"/>
    </row>
    <row r="600" spans="1:19" x14ac:dyDescent="0.3">
      <c r="A600" s="1">
        <v>1024</v>
      </c>
      <c r="B600" s="2">
        <v>45079</v>
      </c>
      <c r="C600" s="1" t="s">
        <v>33</v>
      </c>
      <c r="D600" s="1" t="s">
        <v>47</v>
      </c>
      <c r="E600" s="1">
        <v>1799.77</v>
      </c>
      <c r="F600" s="1">
        <v>2</v>
      </c>
      <c r="G600" s="1" t="s">
        <v>16</v>
      </c>
      <c r="H600" s="1">
        <v>3604.93</v>
      </c>
      <c r="I600" s="1">
        <v>3830.71</v>
      </c>
      <c r="J600" s="1" t="s">
        <v>17</v>
      </c>
      <c r="K600" s="1">
        <v>0.12</v>
      </c>
      <c r="L600" s="1" t="s">
        <v>28</v>
      </c>
      <c r="M600" s="1" t="s">
        <v>19</v>
      </c>
      <c r="N600" s="1">
        <f>SUM(Table3[[#This Row],[Unit_Price]]-Table3[[#This Row],[Unit_Cost]])</f>
        <v>225.7800000000002</v>
      </c>
      <c r="O600" s="7"/>
      <c r="P600" s="7"/>
      <c r="Q600" s="7"/>
      <c r="S600"/>
    </row>
    <row r="601" spans="1:19" x14ac:dyDescent="0.3">
      <c r="A601" s="1">
        <v>1023</v>
      </c>
      <c r="B601" s="2">
        <v>45119</v>
      </c>
      <c r="C601" s="1" t="s">
        <v>33</v>
      </c>
      <c r="D601" s="1" t="s">
        <v>48</v>
      </c>
      <c r="E601" s="1">
        <v>5051.12</v>
      </c>
      <c r="F601" s="1">
        <v>2</v>
      </c>
      <c r="G601" s="1" t="s">
        <v>24</v>
      </c>
      <c r="H601" s="1">
        <v>665.89</v>
      </c>
      <c r="I601" s="1">
        <v>944.79</v>
      </c>
      <c r="J601" s="1" t="s">
        <v>27</v>
      </c>
      <c r="K601" s="1">
        <v>0.1</v>
      </c>
      <c r="L601" s="1" t="s">
        <v>28</v>
      </c>
      <c r="M601" s="1" t="s">
        <v>21</v>
      </c>
      <c r="N601" s="1">
        <f>SUM(Table3[[#This Row],[Unit_Price]]-Table3[[#This Row],[Unit_Cost]])</f>
        <v>278.89999999999998</v>
      </c>
      <c r="O601" s="7"/>
      <c r="P601" s="7"/>
      <c r="Q601" s="7"/>
      <c r="S601"/>
    </row>
    <row r="602" spans="1:19" x14ac:dyDescent="0.3">
      <c r="A602" s="1">
        <v>1062</v>
      </c>
      <c r="B602" s="2">
        <v>44999</v>
      </c>
      <c r="C602" s="1" t="s">
        <v>33</v>
      </c>
      <c r="D602" s="1" t="s">
        <v>49</v>
      </c>
      <c r="E602" s="1">
        <v>4178.3900000000003</v>
      </c>
      <c r="F602" s="1">
        <v>24</v>
      </c>
      <c r="G602" s="1" t="s">
        <v>24</v>
      </c>
      <c r="H602" s="1">
        <v>3018.01</v>
      </c>
      <c r="I602" s="1">
        <v>3418.19</v>
      </c>
      <c r="J602" s="1" t="s">
        <v>17</v>
      </c>
      <c r="K602" s="1">
        <v>0.23</v>
      </c>
      <c r="L602" s="1" t="s">
        <v>25</v>
      </c>
      <c r="M602" s="1" t="s">
        <v>21</v>
      </c>
      <c r="N602" s="1">
        <f>SUM(Table3[[#This Row],[Unit_Price]]-Table3[[#This Row],[Unit_Cost]])</f>
        <v>400.17999999999984</v>
      </c>
      <c r="O602" s="7"/>
      <c r="P602" s="7"/>
      <c r="Q602" s="7"/>
      <c r="S602"/>
    </row>
    <row r="603" spans="1:19" x14ac:dyDescent="0.3">
      <c r="A603" s="1">
        <v>1096</v>
      </c>
      <c r="B603" s="2">
        <v>45231</v>
      </c>
      <c r="C603" s="1" t="s">
        <v>14</v>
      </c>
      <c r="D603" s="1" t="s">
        <v>50</v>
      </c>
      <c r="E603" s="1">
        <v>8718.2199999999993</v>
      </c>
      <c r="F603" s="1">
        <v>17</v>
      </c>
      <c r="G603" s="1" t="s">
        <v>24</v>
      </c>
      <c r="H603" s="1">
        <v>2774.24</v>
      </c>
      <c r="I603" s="1">
        <v>3069.9399999999901</v>
      </c>
      <c r="J603" s="1" t="s">
        <v>17</v>
      </c>
      <c r="K603" s="1">
        <v>0.23</v>
      </c>
      <c r="L603" s="1" t="s">
        <v>25</v>
      </c>
      <c r="M603" s="1" t="s">
        <v>21</v>
      </c>
      <c r="N603" s="1">
        <f>SUM(Table3[[#This Row],[Unit_Price]]-Table3[[#This Row],[Unit_Cost]])</f>
        <v>295.69999999999027</v>
      </c>
      <c r="O603" s="7"/>
      <c r="P603" s="7"/>
      <c r="Q603" s="7"/>
      <c r="S603"/>
    </row>
    <row r="604" spans="1:19" x14ac:dyDescent="0.3">
      <c r="A604" s="1">
        <v>1037</v>
      </c>
      <c r="B604" s="2">
        <v>45270</v>
      </c>
      <c r="C604" s="1" t="s">
        <v>14</v>
      </c>
      <c r="D604" s="1" t="s">
        <v>44</v>
      </c>
      <c r="E604" s="1">
        <v>6351.05</v>
      </c>
      <c r="F604" s="1">
        <v>32</v>
      </c>
      <c r="G604" s="1" t="s">
        <v>31</v>
      </c>
      <c r="H604" s="1">
        <v>2594.08</v>
      </c>
      <c r="I604" s="1">
        <v>3074.59</v>
      </c>
      <c r="J604" s="1" t="s">
        <v>27</v>
      </c>
      <c r="K604" s="1">
        <v>0.14000000000000001</v>
      </c>
      <c r="L604" s="1" t="s">
        <v>18</v>
      </c>
      <c r="M604" s="1" t="s">
        <v>21</v>
      </c>
      <c r="N604" s="1">
        <f>SUM(Table3[[#This Row],[Unit_Price]]-Table3[[#This Row],[Unit_Cost]])</f>
        <v>480.51000000000022</v>
      </c>
      <c r="O604" s="7"/>
      <c r="P604" s="7"/>
      <c r="Q604" s="7"/>
      <c r="S604"/>
    </row>
    <row r="605" spans="1:19" x14ac:dyDescent="0.3">
      <c r="A605" s="1">
        <v>1012</v>
      </c>
      <c r="B605" s="2">
        <v>45066</v>
      </c>
      <c r="C605" s="1" t="s">
        <v>14</v>
      </c>
      <c r="D605" s="1" t="s">
        <v>45</v>
      </c>
      <c r="E605" s="1">
        <v>5371.79</v>
      </c>
      <c r="F605" s="1">
        <v>16</v>
      </c>
      <c r="G605" s="1" t="s">
        <v>24</v>
      </c>
      <c r="H605" s="1">
        <v>3466.11</v>
      </c>
      <c r="I605" s="1">
        <v>3799.67</v>
      </c>
      <c r="J605" s="1" t="s">
        <v>17</v>
      </c>
      <c r="K605" s="1">
        <v>0.01</v>
      </c>
      <c r="L605" s="1" t="s">
        <v>18</v>
      </c>
      <c r="M605" s="1" t="s">
        <v>21</v>
      </c>
      <c r="N605" s="1">
        <f>SUM(Table3[[#This Row],[Unit_Price]]-Table3[[#This Row],[Unit_Cost]])</f>
        <v>333.55999999999995</v>
      </c>
      <c r="O605" s="7"/>
      <c r="P605" s="7"/>
      <c r="Q605" s="7"/>
      <c r="S605"/>
    </row>
    <row r="606" spans="1:19" x14ac:dyDescent="0.3">
      <c r="A606" s="1">
        <v>1055</v>
      </c>
      <c r="B606" s="2">
        <v>45113</v>
      </c>
      <c r="C606" s="1" t="s">
        <v>32</v>
      </c>
      <c r="D606" s="1" t="s">
        <v>46</v>
      </c>
      <c r="E606" s="1">
        <v>1242.4100000000001</v>
      </c>
      <c r="F606" s="1">
        <v>16</v>
      </c>
      <c r="G606" s="1" t="s">
        <v>26</v>
      </c>
      <c r="H606" s="1">
        <v>4195.38</v>
      </c>
      <c r="I606" s="1">
        <v>4461.51</v>
      </c>
      <c r="J606" s="1" t="s">
        <v>17</v>
      </c>
      <c r="K606" s="1">
        <v>0.09</v>
      </c>
      <c r="L606" s="1" t="s">
        <v>25</v>
      </c>
      <c r="M606" s="1" t="s">
        <v>19</v>
      </c>
      <c r="N606" s="1">
        <f>SUM(Table3[[#This Row],[Unit_Price]]-Table3[[#This Row],[Unit_Cost]])</f>
        <v>266.13000000000011</v>
      </c>
      <c r="O606" s="7"/>
      <c r="P606" s="7"/>
      <c r="Q606" s="7"/>
      <c r="S606"/>
    </row>
    <row r="607" spans="1:19" x14ac:dyDescent="0.3">
      <c r="A607" s="1">
        <v>1013</v>
      </c>
      <c r="B607" s="2">
        <v>45219</v>
      </c>
      <c r="C607" s="1" t="s">
        <v>22</v>
      </c>
      <c r="D607" s="1" t="s">
        <v>47</v>
      </c>
      <c r="E607" s="1">
        <v>6095.82</v>
      </c>
      <c r="F607" s="1">
        <v>46</v>
      </c>
      <c r="G607" s="1" t="s">
        <v>31</v>
      </c>
      <c r="H607" s="1">
        <v>1648.8</v>
      </c>
      <c r="I607" s="1">
        <v>1670.36</v>
      </c>
      <c r="J607" s="1" t="s">
        <v>17</v>
      </c>
      <c r="K607" s="1">
        <v>0.09</v>
      </c>
      <c r="L607" s="1" t="s">
        <v>28</v>
      </c>
      <c r="M607" s="1" t="s">
        <v>21</v>
      </c>
      <c r="N607" s="1">
        <f>SUM(Table3[[#This Row],[Unit_Price]]-Table3[[#This Row],[Unit_Cost]])</f>
        <v>21.559999999999945</v>
      </c>
      <c r="O607" s="7"/>
      <c r="P607" s="7"/>
      <c r="Q607" s="7"/>
      <c r="S607"/>
    </row>
    <row r="608" spans="1:19" x14ac:dyDescent="0.3">
      <c r="A608" s="1">
        <v>1023</v>
      </c>
      <c r="B608" s="2">
        <v>44987</v>
      </c>
      <c r="C608" s="1" t="s">
        <v>22</v>
      </c>
      <c r="D608" s="1" t="s">
        <v>48</v>
      </c>
      <c r="E608" s="1">
        <v>1260.32</v>
      </c>
      <c r="F608" s="1">
        <v>39</v>
      </c>
      <c r="G608" s="1" t="s">
        <v>24</v>
      </c>
      <c r="H608" s="1">
        <v>4450.6099999999997</v>
      </c>
      <c r="I608" s="1">
        <v>4663.3399999999901</v>
      </c>
      <c r="J608" s="1" t="s">
        <v>27</v>
      </c>
      <c r="K608" s="1">
        <v>0.24</v>
      </c>
      <c r="L608" s="1" t="s">
        <v>18</v>
      </c>
      <c r="M608" s="1" t="s">
        <v>21</v>
      </c>
      <c r="N608" s="1">
        <f>SUM(Table3[[#This Row],[Unit_Price]]-Table3[[#This Row],[Unit_Cost]])</f>
        <v>212.72999999999047</v>
      </c>
      <c r="O608" s="7"/>
      <c r="P608" s="7"/>
      <c r="Q608" s="7"/>
      <c r="S608"/>
    </row>
    <row r="609" spans="1:19" x14ac:dyDescent="0.3">
      <c r="A609" s="1">
        <v>1089</v>
      </c>
      <c r="B609" s="2">
        <v>45124</v>
      </c>
      <c r="C609" s="1" t="s">
        <v>29</v>
      </c>
      <c r="D609" s="1" t="s">
        <v>49</v>
      </c>
      <c r="E609" s="1">
        <v>3438.35</v>
      </c>
      <c r="F609" s="1">
        <v>31</v>
      </c>
      <c r="G609" s="1" t="s">
        <v>26</v>
      </c>
      <c r="H609" s="1">
        <v>845.14</v>
      </c>
      <c r="I609" s="1">
        <v>1001.77</v>
      </c>
      <c r="J609" s="1" t="s">
        <v>27</v>
      </c>
      <c r="K609" s="1">
        <v>0.03</v>
      </c>
      <c r="L609" s="1" t="s">
        <v>18</v>
      </c>
      <c r="M609" s="1" t="s">
        <v>19</v>
      </c>
      <c r="N609" s="1">
        <f>SUM(Table3[[#This Row],[Unit_Price]]-Table3[[#This Row],[Unit_Cost]])</f>
        <v>156.63</v>
      </c>
      <c r="O609" s="7"/>
      <c r="P609" s="7"/>
      <c r="Q609" s="7"/>
      <c r="S609"/>
    </row>
    <row r="610" spans="1:19" x14ac:dyDescent="0.3">
      <c r="A610" s="1">
        <v>1099</v>
      </c>
      <c r="B610" s="2">
        <v>45221</v>
      </c>
      <c r="C610" s="1" t="s">
        <v>14</v>
      </c>
      <c r="D610" s="1" t="s">
        <v>50</v>
      </c>
      <c r="E610" s="1">
        <v>1514.14</v>
      </c>
      <c r="F610" s="1">
        <v>43</v>
      </c>
      <c r="G610" s="1" t="s">
        <v>26</v>
      </c>
      <c r="H610" s="1">
        <v>906.47</v>
      </c>
      <c r="I610" s="1">
        <v>1283.04</v>
      </c>
      <c r="J610" s="1" t="s">
        <v>27</v>
      </c>
      <c r="K610" s="1">
        <v>0.24</v>
      </c>
      <c r="L610" s="1" t="s">
        <v>18</v>
      </c>
      <c r="M610" s="1" t="s">
        <v>19</v>
      </c>
      <c r="N610" s="1">
        <f>SUM(Table3[[#This Row],[Unit_Price]]-Table3[[#This Row],[Unit_Cost]])</f>
        <v>376.56999999999994</v>
      </c>
      <c r="O610" s="7"/>
      <c r="P610" s="7"/>
      <c r="Q610" s="7"/>
      <c r="S610"/>
    </row>
    <row r="611" spans="1:19" x14ac:dyDescent="0.3">
      <c r="A611" s="1">
        <v>1030</v>
      </c>
      <c r="B611" s="2">
        <v>45245</v>
      </c>
      <c r="C611" s="1" t="s">
        <v>32</v>
      </c>
      <c r="D611" s="1" t="s">
        <v>44</v>
      </c>
      <c r="E611" s="1">
        <v>6951.53</v>
      </c>
      <c r="F611" s="1">
        <v>24</v>
      </c>
      <c r="G611" s="1" t="s">
        <v>26</v>
      </c>
      <c r="H611" s="1">
        <v>1370.52</v>
      </c>
      <c r="I611" s="1">
        <v>1482.58</v>
      </c>
      <c r="J611" s="1" t="s">
        <v>17</v>
      </c>
      <c r="K611" s="1">
        <v>0.2</v>
      </c>
      <c r="L611" s="1" t="s">
        <v>28</v>
      </c>
      <c r="M611" s="1" t="s">
        <v>21</v>
      </c>
      <c r="N611" s="1">
        <f>SUM(Table3[[#This Row],[Unit_Price]]-Table3[[#This Row],[Unit_Cost]])</f>
        <v>112.05999999999995</v>
      </c>
      <c r="O611" s="7"/>
      <c r="P611" s="7"/>
      <c r="Q611" s="7"/>
      <c r="S611"/>
    </row>
    <row r="612" spans="1:19" x14ac:dyDescent="0.3">
      <c r="A612" s="1">
        <v>1017</v>
      </c>
      <c r="B612" s="2">
        <v>45228</v>
      </c>
      <c r="C612" s="1" t="s">
        <v>32</v>
      </c>
      <c r="D612" s="1" t="s">
        <v>45</v>
      </c>
      <c r="E612" s="1">
        <v>2141.9</v>
      </c>
      <c r="F612" s="1">
        <v>1</v>
      </c>
      <c r="G612" s="1" t="s">
        <v>16</v>
      </c>
      <c r="H612" s="1">
        <v>641.67999999999995</v>
      </c>
      <c r="I612" s="1">
        <v>752.24</v>
      </c>
      <c r="J612" s="1" t="s">
        <v>27</v>
      </c>
      <c r="K612" s="1">
        <v>0.22</v>
      </c>
      <c r="L612" s="1" t="s">
        <v>25</v>
      </c>
      <c r="M612" s="1" t="s">
        <v>19</v>
      </c>
      <c r="N612" s="1">
        <f>SUM(Table3[[#This Row],[Unit_Price]]-Table3[[#This Row],[Unit_Cost]])</f>
        <v>110.56000000000006</v>
      </c>
      <c r="O612" s="7"/>
      <c r="P612" s="7"/>
      <c r="Q612" s="7"/>
      <c r="S612"/>
    </row>
    <row r="613" spans="1:19" x14ac:dyDescent="0.3">
      <c r="A613" s="1">
        <v>1062</v>
      </c>
      <c r="B613" s="2">
        <v>45270</v>
      </c>
      <c r="C613" s="1" t="s">
        <v>22</v>
      </c>
      <c r="D613" s="1" t="s">
        <v>46</v>
      </c>
      <c r="E613" s="1">
        <v>3979.41</v>
      </c>
      <c r="F613" s="1">
        <v>11</v>
      </c>
      <c r="G613" s="1" t="s">
        <v>31</v>
      </c>
      <c r="H613" s="1">
        <v>1190.08</v>
      </c>
      <c r="I613" s="1">
        <v>1292.9399999999901</v>
      </c>
      <c r="J613" s="1" t="s">
        <v>17</v>
      </c>
      <c r="K613" s="1">
        <v>0.13</v>
      </c>
      <c r="L613" s="1" t="s">
        <v>18</v>
      </c>
      <c r="M613" s="1" t="s">
        <v>21</v>
      </c>
      <c r="N613" s="1">
        <f>SUM(Table3[[#This Row],[Unit_Price]]-Table3[[#This Row],[Unit_Cost]])</f>
        <v>102.85999999999012</v>
      </c>
      <c r="O613" s="7"/>
      <c r="P613" s="7"/>
      <c r="Q613" s="7"/>
      <c r="S613"/>
    </row>
    <row r="614" spans="1:19" x14ac:dyDescent="0.3">
      <c r="A614" s="1">
        <v>1084</v>
      </c>
      <c r="B614" s="2">
        <v>44937</v>
      </c>
      <c r="C614" s="1" t="s">
        <v>14</v>
      </c>
      <c r="D614" s="1" t="s">
        <v>47</v>
      </c>
      <c r="E614" s="1">
        <v>8967.18</v>
      </c>
      <c r="F614" s="1">
        <v>21</v>
      </c>
      <c r="G614" s="1" t="s">
        <v>26</v>
      </c>
      <c r="H614" s="1">
        <v>576.74</v>
      </c>
      <c r="I614" s="1">
        <v>648.29</v>
      </c>
      <c r="J614" s="1" t="s">
        <v>17</v>
      </c>
      <c r="K614" s="1">
        <v>0.2</v>
      </c>
      <c r="L614" s="1" t="s">
        <v>25</v>
      </c>
      <c r="M614" s="1" t="s">
        <v>19</v>
      </c>
      <c r="N614" s="1">
        <f>SUM(Table3[[#This Row],[Unit_Price]]-Table3[[#This Row],[Unit_Cost]])</f>
        <v>71.549999999999955</v>
      </c>
      <c r="O614" s="7"/>
      <c r="P614" s="7"/>
      <c r="Q614" s="7"/>
      <c r="S614"/>
    </row>
    <row r="615" spans="1:19" x14ac:dyDescent="0.3">
      <c r="A615" s="1">
        <v>1089</v>
      </c>
      <c r="B615" s="2">
        <v>44988</v>
      </c>
      <c r="C615" s="1" t="s">
        <v>29</v>
      </c>
      <c r="D615" s="1" t="s">
        <v>48</v>
      </c>
      <c r="E615" s="1">
        <v>2122.73</v>
      </c>
      <c r="F615" s="1">
        <v>4</v>
      </c>
      <c r="G615" s="1" t="s">
        <v>16</v>
      </c>
      <c r="H615" s="1">
        <v>4117.67</v>
      </c>
      <c r="I615" s="1">
        <v>4280.0600000000004</v>
      </c>
      <c r="J615" s="1" t="s">
        <v>17</v>
      </c>
      <c r="K615" s="1">
        <v>0.18</v>
      </c>
      <c r="L615" s="1" t="s">
        <v>25</v>
      </c>
      <c r="M615" s="1" t="s">
        <v>19</v>
      </c>
      <c r="N615" s="1">
        <f>SUM(Table3[[#This Row],[Unit_Price]]-Table3[[#This Row],[Unit_Cost]])</f>
        <v>162.39000000000033</v>
      </c>
      <c r="O615" s="7"/>
      <c r="P615" s="7"/>
      <c r="Q615" s="7"/>
      <c r="S615"/>
    </row>
    <row r="616" spans="1:19" x14ac:dyDescent="0.3">
      <c r="A616" s="1">
        <v>1086</v>
      </c>
      <c r="B616" s="2">
        <v>45259</v>
      </c>
      <c r="C616" s="1" t="s">
        <v>14</v>
      </c>
      <c r="D616" s="1" t="s">
        <v>49</v>
      </c>
      <c r="E616" s="1">
        <v>5127.2700000000004</v>
      </c>
      <c r="F616" s="1">
        <v>7</v>
      </c>
      <c r="G616" s="1" t="s">
        <v>24</v>
      </c>
      <c r="H616" s="1">
        <v>737.9</v>
      </c>
      <c r="I616" s="1">
        <v>1182</v>
      </c>
      <c r="J616" s="1" t="s">
        <v>27</v>
      </c>
      <c r="K616" s="1">
        <v>0.23</v>
      </c>
      <c r="L616" s="1" t="s">
        <v>28</v>
      </c>
      <c r="M616" s="1" t="s">
        <v>21</v>
      </c>
      <c r="N616" s="1">
        <f>SUM(Table3[[#This Row],[Unit_Price]]-Table3[[#This Row],[Unit_Cost]])</f>
        <v>444.1</v>
      </c>
      <c r="O616" s="7"/>
      <c r="P616" s="7"/>
      <c r="Q616" s="7"/>
      <c r="S616"/>
    </row>
    <row r="617" spans="1:19" x14ac:dyDescent="0.3">
      <c r="A617" s="1">
        <v>1013</v>
      </c>
      <c r="B617" s="2">
        <v>45152</v>
      </c>
      <c r="C617" s="1" t="s">
        <v>33</v>
      </c>
      <c r="D617" s="1" t="s">
        <v>50</v>
      </c>
      <c r="E617" s="1">
        <v>4250.79</v>
      </c>
      <c r="F617" s="1">
        <v>26</v>
      </c>
      <c r="G617" s="1" t="s">
        <v>26</v>
      </c>
      <c r="H617" s="1">
        <v>3749.12</v>
      </c>
      <c r="I617" s="1">
        <v>4138.83</v>
      </c>
      <c r="J617" s="1" t="s">
        <v>27</v>
      </c>
      <c r="K617" s="1">
        <v>0.13</v>
      </c>
      <c r="L617" s="1" t="s">
        <v>28</v>
      </c>
      <c r="M617" s="1" t="s">
        <v>19</v>
      </c>
      <c r="N617" s="1">
        <f>SUM(Table3[[#This Row],[Unit_Price]]-Table3[[#This Row],[Unit_Cost]])</f>
        <v>389.71000000000004</v>
      </c>
      <c r="O617" s="7"/>
      <c r="P617" s="7"/>
      <c r="Q617" s="7"/>
      <c r="S617"/>
    </row>
    <row r="618" spans="1:19" x14ac:dyDescent="0.3">
      <c r="A618" s="1">
        <v>1059</v>
      </c>
      <c r="B618" s="2">
        <v>45079</v>
      </c>
      <c r="C618" s="1" t="s">
        <v>14</v>
      </c>
      <c r="D618" s="1" t="s">
        <v>44</v>
      </c>
      <c r="E618" s="1">
        <v>279.43</v>
      </c>
      <c r="F618" s="1">
        <v>47</v>
      </c>
      <c r="G618" s="1" t="s">
        <v>16</v>
      </c>
      <c r="H618" s="1">
        <v>287.17</v>
      </c>
      <c r="I618" s="1">
        <v>657.44</v>
      </c>
      <c r="J618" s="1" t="s">
        <v>17</v>
      </c>
      <c r="K618" s="1">
        <v>0.14000000000000001</v>
      </c>
      <c r="L618" s="1" t="s">
        <v>28</v>
      </c>
      <c r="M618" s="1" t="s">
        <v>21</v>
      </c>
      <c r="N618" s="1">
        <f>SUM(Table3[[#This Row],[Unit_Price]]-Table3[[#This Row],[Unit_Cost]])</f>
        <v>370.27000000000004</v>
      </c>
      <c r="O618" s="7"/>
      <c r="P618" s="7"/>
      <c r="Q618" s="7"/>
      <c r="S618"/>
    </row>
    <row r="619" spans="1:19" x14ac:dyDescent="0.3">
      <c r="A619" s="1">
        <v>1019</v>
      </c>
      <c r="B619" s="2">
        <v>45125</v>
      </c>
      <c r="C619" s="1" t="s">
        <v>33</v>
      </c>
      <c r="D619" s="1" t="s">
        <v>45</v>
      </c>
      <c r="E619" s="1">
        <v>7948.31</v>
      </c>
      <c r="F619" s="1">
        <v>12</v>
      </c>
      <c r="G619" s="1" t="s">
        <v>26</v>
      </c>
      <c r="H619" s="1">
        <v>4745.18</v>
      </c>
      <c r="I619" s="1">
        <v>5145.88</v>
      </c>
      <c r="J619" s="1" t="s">
        <v>17</v>
      </c>
      <c r="K619" s="1">
        <v>0.19</v>
      </c>
      <c r="L619" s="1" t="s">
        <v>28</v>
      </c>
      <c r="M619" s="1" t="s">
        <v>19</v>
      </c>
      <c r="N619" s="1">
        <f>SUM(Table3[[#This Row],[Unit_Price]]-Table3[[#This Row],[Unit_Cost]])</f>
        <v>400.69999999999982</v>
      </c>
      <c r="O619" s="7"/>
      <c r="P619" s="7"/>
      <c r="Q619" s="7"/>
      <c r="S619"/>
    </row>
    <row r="620" spans="1:19" x14ac:dyDescent="0.3">
      <c r="A620" s="1">
        <v>1049</v>
      </c>
      <c r="B620" s="2">
        <v>44978</v>
      </c>
      <c r="C620" s="1" t="s">
        <v>33</v>
      </c>
      <c r="D620" s="1" t="s">
        <v>46</v>
      </c>
      <c r="E620" s="1">
        <v>783.55</v>
      </c>
      <c r="F620" s="1">
        <v>31</v>
      </c>
      <c r="G620" s="1" t="s">
        <v>31</v>
      </c>
      <c r="H620" s="1">
        <v>3570.24</v>
      </c>
      <c r="I620" s="1">
        <v>3712.25</v>
      </c>
      <c r="J620" s="1" t="s">
        <v>27</v>
      </c>
      <c r="K620" s="1">
        <v>0.03</v>
      </c>
      <c r="L620" s="1" t="s">
        <v>28</v>
      </c>
      <c r="M620" s="1" t="s">
        <v>19</v>
      </c>
      <c r="N620" s="1">
        <f>SUM(Table3[[#This Row],[Unit_Price]]-Table3[[#This Row],[Unit_Cost]])</f>
        <v>142.01000000000022</v>
      </c>
      <c r="O620" s="7"/>
      <c r="P620" s="7"/>
      <c r="Q620" s="7"/>
      <c r="S620"/>
    </row>
    <row r="621" spans="1:19" x14ac:dyDescent="0.3">
      <c r="A621" s="1">
        <v>1100</v>
      </c>
      <c r="B621" s="2">
        <v>45186</v>
      </c>
      <c r="C621" s="1" t="s">
        <v>29</v>
      </c>
      <c r="D621" s="1" t="s">
        <v>47</v>
      </c>
      <c r="E621" s="1">
        <v>4795.12</v>
      </c>
      <c r="F621" s="1">
        <v>17</v>
      </c>
      <c r="G621" s="1" t="s">
        <v>31</v>
      </c>
      <c r="H621" s="1">
        <v>83.64</v>
      </c>
      <c r="I621" s="1">
        <v>528.49</v>
      </c>
      <c r="J621" s="1" t="s">
        <v>27</v>
      </c>
      <c r="K621" s="1">
        <v>0.13</v>
      </c>
      <c r="L621" s="1" t="s">
        <v>28</v>
      </c>
      <c r="M621" s="1" t="s">
        <v>19</v>
      </c>
      <c r="N621" s="1">
        <f>SUM(Table3[[#This Row],[Unit_Price]]-Table3[[#This Row],[Unit_Cost]])</f>
        <v>444.85</v>
      </c>
      <c r="O621" s="7"/>
      <c r="P621" s="7"/>
      <c r="Q621" s="7"/>
      <c r="S621"/>
    </row>
    <row r="622" spans="1:19" x14ac:dyDescent="0.3">
      <c r="A622" s="1">
        <v>1012</v>
      </c>
      <c r="B622" s="2">
        <v>44985</v>
      </c>
      <c r="C622" s="1" t="s">
        <v>22</v>
      </c>
      <c r="D622" s="1" t="s">
        <v>48</v>
      </c>
      <c r="E622" s="1">
        <v>5650.72</v>
      </c>
      <c r="F622" s="1">
        <v>33</v>
      </c>
      <c r="G622" s="1" t="s">
        <v>24</v>
      </c>
      <c r="H622" s="1">
        <v>3831.09</v>
      </c>
      <c r="I622" s="1">
        <v>3908.37</v>
      </c>
      <c r="J622" s="1" t="s">
        <v>27</v>
      </c>
      <c r="K622" s="1">
        <v>0.28999999999999998</v>
      </c>
      <c r="L622" s="1" t="s">
        <v>18</v>
      </c>
      <c r="M622" s="1" t="s">
        <v>21</v>
      </c>
      <c r="N622" s="1">
        <f>SUM(Table3[[#This Row],[Unit_Price]]-Table3[[#This Row],[Unit_Cost]])</f>
        <v>77.279999999999745</v>
      </c>
      <c r="O622" s="7"/>
      <c r="P622" s="7"/>
      <c r="Q622" s="7"/>
      <c r="S622"/>
    </row>
    <row r="623" spans="1:19" x14ac:dyDescent="0.3">
      <c r="A623" s="1">
        <v>1061</v>
      </c>
      <c r="B623" s="2">
        <v>44998</v>
      </c>
      <c r="C623" s="1" t="s">
        <v>14</v>
      </c>
      <c r="D623" s="1" t="s">
        <v>49</v>
      </c>
      <c r="E623" s="1">
        <v>6321.42</v>
      </c>
      <c r="F623" s="1">
        <v>11</v>
      </c>
      <c r="G623" s="1" t="s">
        <v>26</v>
      </c>
      <c r="H623" s="1">
        <v>2594.71</v>
      </c>
      <c r="I623" s="1">
        <v>2769.52</v>
      </c>
      <c r="J623" s="1" t="s">
        <v>17</v>
      </c>
      <c r="K623" s="1">
        <v>0.01</v>
      </c>
      <c r="L623" s="1" t="s">
        <v>25</v>
      </c>
      <c r="M623" s="1" t="s">
        <v>21</v>
      </c>
      <c r="N623" s="1">
        <f>SUM(Table3[[#This Row],[Unit_Price]]-Table3[[#This Row],[Unit_Cost]])</f>
        <v>174.80999999999995</v>
      </c>
      <c r="O623" s="7"/>
      <c r="P623" s="7"/>
      <c r="Q623" s="7"/>
      <c r="S623"/>
    </row>
    <row r="624" spans="1:19" x14ac:dyDescent="0.3">
      <c r="A624" s="1">
        <v>1019</v>
      </c>
      <c r="B624" s="2">
        <v>45074</v>
      </c>
      <c r="C624" s="1" t="s">
        <v>33</v>
      </c>
      <c r="D624" s="1" t="s">
        <v>50</v>
      </c>
      <c r="E624" s="1">
        <v>6917.45</v>
      </c>
      <c r="F624" s="1">
        <v>28</v>
      </c>
      <c r="G624" s="1" t="s">
        <v>16</v>
      </c>
      <c r="H624" s="1">
        <v>3907.86</v>
      </c>
      <c r="I624" s="1">
        <v>4205.37</v>
      </c>
      <c r="J624" s="1" t="s">
        <v>27</v>
      </c>
      <c r="K624" s="1">
        <v>0.09</v>
      </c>
      <c r="L624" s="1" t="s">
        <v>28</v>
      </c>
      <c r="M624" s="1" t="s">
        <v>19</v>
      </c>
      <c r="N624" s="1">
        <f>SUM(Table3[[#This Row],[Unit_Price]]-Table3[[#This Row],[Unit_Cost]])</f>
        <v>297.50999999999976</v>
      </c>
      <c r="O624" s="7"/>
      <c r="P624" s="7"/>
      <c r="Q624" s="7"/>
      <c r="S624"/>
    </row>
    <row r="625" spans="1:19" x14ac:dyDescent="0.3">
      <c r="A625" s="1">
        <v>1076</v>
      </c>
      <c r="B625" s="2">
        <v>45275</v>
      </c>
      <c r="C625" s="1" t="s">
        <v>14</v>
      </c>
      <c r="D625" s="1" t="s">
        <v>44</v>
      </c>
      <c r="E625" s="1">
        <v>2607.4</v>
      </c>
      <c r="F625" s="1">
        <v>32</v>
      </c>
      <c r="G625" s="1" t="s">
        <v>24</v>
      </c>
      <c r="H625" s="1">
        <v>2636.36</v>
      </c>
      <c r="I625" s="1">
        <v>2696.78</v>
      </c>
      <c r="J625" s="1" t="s">
        <v>27</v>
      </c>
      <c r="K625" s="1">
        <v>0.09</v>
      </c>
      <c r="L625" s="1" t="s">
        <v>18</v>
      </c>
      <c r="M625" s="1" t="s">
        <v>21</v>
      </c>
      <c r="N625" s="1">
        <f>SUM(Table3[[#This Row],[Unit_Price]]-Table3[[#This Row],[Unit_Cost]])</f>
        <v>60.420000000000073</v>
      </c>
      <c r="O625" s="7"/>
      <c r="P625" s="7"/>
      <c r="Q625" s="7"/>
      <c r="S625"/>
    </row>
    <row r="626" spans="1:19" x14ac:dyDescent="0.3">
      <c r="A626" s="1">
        <v>1009</v>
      </c>
      <c r="B626" s="2">
        <v>44989</v>
      </c>
      <c r="C626" s="1" t="s">
        <v>22</v>
      </c>
      <c r="D626" s="1" t="s">
        <v>45</v>
      </c>
      <c r="E626" s="1">
        <v>198.79</v>
      </c>
      <c r="F626" s="1">
        <v>1</v>
      </c>
      <c r="G626" s="1" t="s">
        <v>26</v>
      </c>
      <c r="H626" s="1">
        <v>3223.07</v>
      </c>
      <c r="I626" s="1">
        <v>3590.83</v>
      </c>
      <c r="J626" s="1" t="s">
        <v>27</v>
      </c>
      <c r="K626" s="1">
        <v>0.19</v>
      </c>
      <c r="L626" s="1" t="s">
        <v>25</v>
      </c>
      <c r="M626" s="1" t="s">
        <v>21</v>
      </c>
      <c r="N626" s="1">
        <f>SUM(Table3[[#This Row],[Unit_Price]]-Table3[[#This Row],[Unit_Cost]])</f>
        <v>367.75999999999976</v>
      </c>
      <c r="O626" s="7"/>
      <c r="P626" s="7"/>
      <c r="Q626" s="7"/>
      <c r="S626"/>
    </row>
    <row r="627" spans="1:19" x14ac:dyDescent="0.3">
      <c r="A627" s="1">
        <v>1071</v>
      </c>
      <c r="B627" s="2">
        <v>45236</v>
      </c>
      <c r="C627" s="1" t="s">
        <v>22</v>
      </c>
      <c r="D627" s="1" t="s">
        <v>46</v>
      </c>
      <c r="E627" s="1">
        <v>7262.09</v>
      </c>
      <c r="F627" s="1">
        <v>47</v>
      </c>
      <c r="G627" s="1" t="s">
        <v>24</v>
      </c>
      <c r="H627" s="1">
        <v>3942.34</v>
      </c>
      <c r="I627" s="1">
        <v>4142.09</v>
      </c>
      <c r="J627" s="1" t="s">
        <v>17</v>
      </c>
      <c r="K627" s="1">
        <v>0.03</v>
      </c>
      <c r="L627" s="1" t="s">
        <v>28</v>
      </c>
      <c r="M627" s="1" t="s">
        <v>21</v>
      </c>
      <c r="N627" s="1">
        <f>SUM(Table3[[#This Row],[Unit_Price]]-Table3[[#This Row],[Unit_Cost]])</f>
        <v>199.75</v>
      </c>
      <c r="O627" s="7"/>
      <c r="P627" s="7"/>
      <c r="Q627" s="7"/>
      <c r="S627"/>
    </row>
    <row r="628" spans="1:19" x14ac:dyDescent="0.3">
      <c r="A628" s="1">
        <v>1028</v>
      </c>
      <c r="B628" s="2">
        <v>45169</v>
      </c>
      <c r="C628" s="1" t="s">
        <v>32</v>
      </c>
      <c r="D628" s="1" t="s">
        <v>47</v>
      </c>
      <c r="E628" s="1">
        <v>5403</v>
      </c>
      <c r="F628" s="1">
        <v>28</v>
      </c>
      <c r="G628" s="1" t="s">
        <v>16</v>
      </c>
      <c r="H628" s="1">
        <v>2055.2800000000002</v>
      </c>
      <c r="I628" s="1">
        <v>2449.64</v>
      </c>
      <c r="J628" s="1" t="s">
        <v>27</v>
      </c>
      <c r="K628" s="1">
        <v>0.19</v>
      </c>
      <c r="L628" s="1" t="s">
        <v>28</v>
      </c>
      <c r="M628" s="1" t="s">
        <v>19</v>
      </c>
      <c r="N628" s="1">
        <f>SUM(Table3[[#This Row],[Unit_Price]]-Table3[[#This Row],[Unit_Cost]])</f>
        <v>394.35999999999967</v>
      </c>
      <c r="O628" s="7"/>
      <c r="P628" s="7"/>
      <c r="Q628" s="7"/>
      <c r="S628"/>
    </row>
    <row r="629" spans="1:19" x14ac:dyDescent="0.3">
      <c r="A629" s="1">
        <v>1078</v>
      </c>
      <c r="B629" s="2">
        <v>45292</v>
      </c>
      <c r="C629" s="1" t="s">
        <v>22</v>
      </c>
      <c r="D629" s="1" t="s">
        <v>48</v>
      </c>
      <c r="E629" s="1">
        <v>8377.57</v>
      </c>
      <c r="F629" s="1">
        <v>42</v>
      </c>
      <c r="G629" s="1" t="s">
        <v>24</v>
      </c>
      <c r="H629" s="1">
        <v>63.41</v>
      </c>
      <c r="I629" s="1">
        <v>314.93</v>
      </c>
      <c r="J629" s="1" t="s">
        <v>17</v>
      </c>
      <c r="K629" s="1">
        <v>0.03</v>
      </c>
      <c r="L629" s="1" t="s">
        <v>18</v>
      </c>
      <c r="M629" s="1" t="s">
        <v>21</v>
      </c>
      <c r="N629" s="1">
        <f>SUM(Table3[[#This Row],[Unit_Price]]-Table3[[#This Row],[Unit_Cost]])</f>
        <v>251.52</v>
      </c>
      <c r="O629" s="7"/>
      <c r="P629" s="7"/>
      <c r="Q629" s="7"/>
      <c r="S629"/>
    </row>
    <row r="630" spans="1:19" x14ac:dyDescent="0.3">
      <c r="A630" s="1">
        <v>1095</v>
      </c>
      <c r="B630" s="2">
        <v>45256</v>
      </c>
      <c r="C630" s="1" t="s">
        <v>29</v>
      </c>
      <c r="D630" s="1" t="s">
        <v>49</v>
      </c>
      <c r="E630" s="1">
        <v>8231.74</v>
      </c>
      <c r="F630" s="1">
        <v>7</v>
      </c>
      <c r="G630" s="1" t="s">
        <v>24</v>
      </c>
      <c r="H630" s="1">
        <v>4257.24</v>
      </c>
      <c r="I630" s="1">
        <v>4355.87</v>
      </c>
      <c r="J630" s="1" t="s">
        <v>17</v>
      </c>
      <c r="K630" s="1">
        <v>0.03</v>
      </c>
      <c r="L630" s="1" t="s">
        <v>25</v>
      </c>
      <c r="M630" s="1" t="s">
        <v>19</v>
      </c>
      <c r="N630" s="1">
        <f>SUM(Table3[[#This Row],[Unit_Price]]-Table3[[#This Row],[Unit_Cost]])</f>
        <v>98.630000000000109</v>
      </c>
      <c r="O630" s="7"/>
      <c r="P630" s="7"/>
      <c r="Q630" s="7"/>
      <c r="S630"/>
    </row>
    <row r="631" spans="1:19" x14ac:dyDescent="0.3">
      <c r="A631" s="1">
        <v>1052</v>
      </c>
      <c r="B631" s="2">
        <v>45033</v>
      </c>
      <c r="C631" s="1" t="s">
        <v>33</v>
      </c>
      <c r="D631" s="1" t="s">
        <v>50</v>
      </c>
      <c r="E631" s="1">
        <v>8448.93</v>
      </c>
      <c r="F631" s="1">
        <v>2</v>
      </c>
      <c r="G631" s="1" t="s">
        <v>24</v>
      </c>
      <c r="H631" s="1">
        <v>1935.41</v>
      </c>
      <c r="I631" s="1">
        <v>2305.44</v>
      </c>
      <c r="J631" s="1" t="s">
        <v>17</v>
      </c>
      <c r="K631" s="1">
        <v>0.22</v>
      </c>
      <c r="L631" s="1" t="s">
        <v>28</v>
      </c>
      <c r="M631" s="1" t="s">
        <v>19</v>
      </c>
      <c r="N631" s="1">
        <f>SUM(Table3[[#This Row],[Unit_Price]]-Table3[[#This Row],[Unit_Cost]])</f>
        <v>370.03</v>
      </c>
      <c r="O631" s="7"/>
      <c r="P631" s="7"/>
      <c r="Q631" s="7"/>
      <c r="S631"/>
    </row>
    <row r="632" spans="1:19" x14ac:dyDescent="0.3">
      <c r="A632" s="1">
        <v>1083</v>
      </c>
      <c r="B632" s="2">
        <v>45152</v>
      </c>
      <c r="C632" s="1" t="s">
        <v>32</v>
      </c>
      <c r="D632" s="1" t="s">
        <v>44</v>
      </c>
      <c r="E632" s="1">
        <v>4902.4399999999996</v>
      </c>
      <c r="F632" s="1">
        <v>42</v>
      </c>
      <c r="G632" s="1" t="s">
        <v>26</v>
      </c>
      <c r="H632" s="1">
        <v>2505.41</v>
      </c>
      <c r="I632" s="1">
        <v>2638.96</v>
      </c>
      <c r="J632" s="1" t="s">
        <v>27</v>
      </c>
      <c r="K632" s="1">
        <v>0.1</v>
      </c>
      <c r="L632" s="1" t="s">
        <v>25</v>
      </c>
      <c r="M632" s="1" t="s">
        <v>19</v>
      </c>
      <c r="N632" s="1">
        <f>SUM(Table3[[#This Row],[Unit_Price]]-Table3[[#This Row],[Unit_Cost]])</f>
        <v>133.55000000000018</v>
      </c>
      <c r="O632" s="7"/>
      <c r="P632" s="7"/>
      <c r="Q632" s="7"/>
      <c r="S632"/>
    </row>
    <row r="633" spans="1:19" x14ac:dyDescent="0.3">
      <c r="A633" s="1">
        <v>1016</v>
      </c>
      <c r="B633" s="2">
        <v>45239</v>
      </c>
      <c r="C633" s="1" t="s">
        <v>29</v>
      </c>
      <c r="D633" s="1" t="s">
        <v>45</v>
      </c>
      <c r="E633" s="1">
        <v>3402.92</v>
      </c>
      <c r="F633" s="1">
        <v>24</v>
      </c>
      <c r="G633" s="1" t="s">
        <v>16</v>
      </c>
      <c r="H633" s="1">
        <v>88.44</v>
      </c>
      <c r="I633" s="1">
        <v>338.94</v>
      </c>
      <c r="J633" s="1" t="s">
        <v>27</v>
      </c>
      <c r="K633" s="1">
        <v>0.28999999999999998</v>
      </c>
      <c r="L633" s="1" t="s">
        <v>18</v>
      </c>
      <c r="M633" s="1" t="s">
        <v>19</v>
      </c>
      <c r="N633" s="1">
        <f>SUM(Table3[[#This Row],[Unit_Price]]-Table3[[#This Row],[Unit_Cost]])</f>
        <v>250.5</v>
      </c>
      <c r="O633" s="7"/>
      <c r="P633" s="7"/>
      <c r="Q633" s="7"/>
      <c r="S633"/>
    </row>
    <row r="634" spans="1:19" x14ac:dyDescent="0.3">
      <c r="A634" s="1">
        <v>1069</v>
      </c>
      <c r="B634" s="2">
        <v>45144</v>
      </c>
      <c r="C634" s="1" t="s">
        <v>14</v>
      </c>
      <c r="D634" s="1" t="s">
        <v>46</v>
      </c>
      <c r="E634" s="1">
        <v>7936.43</v>
      </c>
      <c r="F634" s="1">
        <v>4</v>
      </c>
      <c r="G634" s="1" t="s">
        <v>31</v>
      </c>
      <c r="H634" s="1">
        <v>2485.86</v>
      </c>
      <c r="I634" s="1">
        <v>2532.87</v>
      </c>
      <c r="J634" s="1" t="s">
        <v>27</v>
      </c>
      <c r="K634" s="1">
        <v>0.01</v>
      </c>
      <c r="L634" s="1" t="s">
        <v>28</v>
      </c>
      <c r="M634" s="1" t="s">
        <v>19</v>
      </c>
      <c r="N634" s="1">
        <f>SUM(Table3[[#This Row],[Unit_Price]]-Table3[[#This Row],[Unit_Cost]])</f>
        <v>47.009999999999764</v>
      </c>
      <c r="O634" s="7"/>
      <c r="P634" s="7"/>
      <c r="Q634" s="7"/>
      <c r="S634"/>
    </row>
    <row r="635" spans="1:19" x14ac:dyDescent="0.3">
      <c r="A635" s="1">
        <v>1099</v>
      </c>
      <c r="B635" s="2">
        <v>45167</v>
      </c>
      <c r="C635" s="1" t="s">
        <v>33</v>
      </c>
      <c r="D635" s="1" t="s">
        <v>47</v>
      </c>
      <c r="E635" s="1">
        <v>4567.8100000000004</v>
      </c>
      <c r="F635" s="1">
        <v>44</v>
      </c>
      <c r="G635" s="1" t="s">
        <v>26</v>
      </c>
      <c r="H635" s="1">
        <v>4933.1099999999997</v>
      </c>
      <c r="I635" s="1">
        <v>5245.86</v>
      </c>
      <c r="J635" s="1" t="s">
        <v>17</v>
      </c>
      <c r="K635" s="1">
        <v>0.13</v>
      </c>
      <c r="L635" s="1" t="s">
        <v>25</v>
      </c>
      <c r="M635" s="1" t="s">
        <v>21</v>
      </c>
      <c r="N635" s="1">
        <f>SUM(Table3[[#This Row],[Unit_Price]]-Table3[[#This Row],[Unit_Cost]])</f>
        <v>312.75</v>
      </c>
      <c r="O635" s="7"/>
      <c r="P635" s="7"/>
      <c r="Q635" s="7"/>
      <c r="S635"/>
    </row>
    <row r="636" spans="1:19" x14ac:dyDescent="0.3">
      <c r="A636" s="1">
        <v>1012</v>
      </c>
      <c r="B636" s="2">
        <v>45185</v>
      </c>
      <c r="C636" s="1" t="s">
        <v>22</v>
      </c>
      <c r="D636" s="1" t="s">
        <v>48</v>
      </c>
      <c r="E636" s="1">
        <v>1916.08</v>
      </c>
      <c r="F636" s="1">
        <v>19</v>
      </c>
      <c r="G636" s="1" t="s">
        <v>31</v>
      </c>
      <c r="H636" s="1">
        <v>1427.42</v>
      </c>
      <c r="I636" s="1">
        <v>1763.69</v>
      </c>
      <c r="J636" s="1" t="s">
        <v>27</v>
      </c>
      <c r="K636" s="1">
        <v>0.03</v>
      </c>
      <c r="L636" s="1" t="s">
        <v>18</v>
      </c>
      <c r="M636" s="1" t="s">
        <v>21</v>
      </c>
      <c r="N636" s="1">
        <f>SUM(Table3[[#This Row],[Unit_Price]]-Table3[[#This Row],[Unit_Cost]])</f>
        <v>336.27</v>
      </c>
      <c r="O636" s="7"/>
      <c r="P636" s="7"/>
      <c r="Q636" s="7"/>
      <c r="S636"/>
    </row>
    <row r="637" spans="1:19" x14ac:dyDescent="0.3">
      <c r="A637" s="1">
        <v>1025</v>
      </c>
      <c r="B637" s="2">
        <v>45188</v>
      </c>
      <c r="C637" s="1" t="s">
        <v>33</v>
      </c>
      <c r="D637" s="1" t="s">
        <v>49</v>
      </c>
      <c r="E637" s="1">
        <v>8564.24</v>
      </c>
      <c r="F637" s="1">
        <v>26</v>
      </c>
      <c r="G637" s="1" t="s">
        <v>31</v>
      </c>
      <c r="H637" s="1">
        <v>2007.32</v>
      </c>
      <c r="I637" s="1">
        <v>2202.87</v>
      </c>
      <c r="J637" s="1" t="s">
        <v>17</v>
      </c>
      <c r="K637" s="1">
        <v>0.11</v>
      </c>
      <c r="L637" s="1" t="s">
        <v>18</v>
      </c>
      <c r="M637" s="1" t="s">
        <v>19</v>
      </c>
      <c r="N637" s="1">
        <f>SUM(Table3[[#This Row],[Unit_Price]]-Table3[[#This Row],[Unit_Cost]])</f>
        <v>195.54999999999995</v>
      </c>
      <c r="O637" s="7"/>
      <c r="P637" s="7"/>
      <c r="Q637" s="7"/>
      <c r="S637"/>
    </row>
    <row r="638" spans="1:19" x14ac:dyDescent="0.3">
      <c r="A638" s="1">
        <v>1052</v>
      </c>
      <c r="B638" s="2">
        <v>44931</v>
      </c>
      <c r="C638" s="1" t="s">
        <v>14</v>
      </c>
      <c r="D638" s="1" t="s">
        <v>50</v>
      </c>
      <c r="E638" s="1">
        <v>8837.34</v>
      </c>
      <c r="F638" s="1">
        <v>11</v>
      </c>
      <c r="G638" s="1" t="s">
        <v>26</v>
      </c>
      <c r="H638" s="1">
        <v>3451.59</v>
      </c>
      <c r="I638" s="1">
        <v>3929.26</v>
      </c>
      <c r="J638" s="1" t="s">
        <v>27</v>
      </c>
      <c r="K638" s="1">
        <v>0.3</v>
      </c>
      <c r="L638" s="1" t="s">
        <v>28</v>
      </c>
      <c r="M638" s="1" t="s">
        <v>21</v>
      </c>
      <c r="N638" s="1">
        <f>SUM(Table3[[#This Row],[Unit_Price]]-Table3[[#This Row],[Unit_Cost]])</f>
        <v>477.67000000000007</v>
      </c>
      <c r="O638" s="7"/>
      <c r="P638" s="7"/>
      <c r="Q638" s="7"/>
      <c r="S638"/>
    </row>
    <row r="639" spans="1:19" x14ac:dyDescent="0.3">
      <c r="A639" s="1">
        <v>1085</v>
      </c>
      <c r="B639" s="2">
        <v>45187</v>
      </c>
      <c r="C639" s="1" t="s">
        <v>32</v>
      </c>
      <c r="D639" s="1" t="s">
        <v>44</v>
      </c>
      <c r="E639" s="1">
        <v>4716.47</v>
      </c>
      <c r="F639" s="1">
        <v>40</v>
      </c>
      <c r="G639" s="1" t="s">
        <v>26</v>
      </c>
      <c r="H639" s="1">
        <v>4083.23</v>
      </c>
      <c r="I639" s="1">
        <v>4521.57</v>
      </c>
      <c r="J639" s="1" t="s">
        <v>27</v>
      </c>
      <c r="K639" s="1">
        <v>0.27</v>
      </c>
      <c r="L639" s="1" t="s">
        <v>25</v>
      </c>
      <c r="M639" s="1" t="s">
        <v>21</v>
      </c>
      <c r="N639" s="1">
        <f>SUM(Table3[[#This Row],[Unit_Price]]-Table3[[#This Row],[Unit_Cost]])</f>
        <v>438.33999999999969</v>
      </c>
      <c r="O639" s="7"/>
      <c r="P639" s="7"/>
      <c r="Q639" s="7"/>
      <c r="S639"/>
    </row>
    <row r="640" spans="1:19" x14ac:dyDescent="0.3">
      <c r="A640" s="1">
        <v>1100</v>
      </c>
      <c r="B640" s="2">
        <v>44980</v>
      </c>
      <c r="C640" s="1" t="s">
        <v>32</v>
      </c>
      <c r="D640" s="1" t="s">
        <v>45</v>
      </c>
      <c r="E640" s="1">
        <v>849.43</v>
      </c>
      <c r="F640" s="1">
        <v>43</v>
      </c>
      <c r="G640" s="1" t="s">
        <v>16</v>
      </c>
      <c r="H640" s="1">
        <v>2116.09</v>
      </c>
      <c r="I640" s="1">
        <v>2472.98</v>
      </c>
      <c r="J640" s="1" t="s">
        <v>27</v>
      </c>
      <c r="K640" s="1">
        <v>0.01</v>
      </c>
      <c r="L640" s="1" t="s">
        <v>28</v>
      </c>
      <c r="M640" s="1" t="s">
        <v>21</v>
      </c>
      <c r="N640" s="1">
        <f>SUM(Table3[[#This Row],[Unit_Price]]-Table3[[#This Row],[Unit_Cost]])</f>
        <v>356.88999999999987</v>
      </c>
      <c r="O640" s="7"/>
      <c r="P640" s="7"/>
      <c r="Q640" s="7"/>
      <c r="S640"/>
    </row>
    <row r="641" spans="1:19" x14ac:dyDescent="0.3">
      <c r="A641" s="1">
        <v>1053</v>
      </c>
      <c r="B641" s="2">
        <v>44973</v>
      </c>
      <c r="C641" s="1" t="s">
        <v>32</v>
      </c>
      <c r="D641" s="1" t="s">
        <v>46</v>
      </c>
      <c r="E641" s="1">
        <v>3939.48</v>
      </c>
      <c r="F641" s="1">
        <v>11</v>
      </c>
      <c r="G641" s="1" t="s">
        <v>16</v>
      </c>
      <c r="H641" s="1">
        <v>1582.86</v>
      </c>
      <c r="I641" s="1">
        <v>1942.55</v>
      </c>
      <c r="J641" s="1" t="s">
        <v>27</v>
      </c>
      <c r="K641" s="1">
        <v>0.17</v>
      </c>
      <c r="L641" s="1" t="s">
        <v>28</v>
      </c>
      <c r="M641" s="1" t="s">
        <v>21</v>
      </c>
      <c r="N641" s="1">
        <f>SUM(Table3[[#This Row],[Unit_Price]]-Table3[[#This Row],[Unit_Cost]])</f>
        <v>359.69000000000005</v>
      </c>
      <c r="O641" s="7"/>
      <c r="P641" s="7"/>
      <c r="Q641" s="7"/>
      <c r="S641"/>
    </row>
    <row r="642" spans="1:19" x14ac:dyDescent="0.3">
      <c r="A642" s="1">
        <v>1023</v>
      </c>
      <c r="B642" s="2">
        <v>45141</v>
      </c>
      <c r="C642" s="1" t="s">
        <v>22</v>
      </c>
      <c r="D642" s="1" t="s">
        <v>47</v>
      </c>
      <c r="E642" s="1">
        <v>8055.02</v>
      </c>
      <c r="F642" s="1">
        <v>45</v>
      </c>
      <c r="G642" s="1" t="s">
        <v>24</v>
      </c>
      <c r="H642" s="1">
        <v>4692.24</v>
      </c>
      <c r="I642" s="1">
        <v>4825.92</v>
      </c>
      <c r="J642" s="1" t="s">
        <v>17</v>
      </c>
      <c r="K642" s="1">
        <v>0.19</v>
      </c>
      <c r="L642" s="1" t="s">
        <v>25</v>
      </c>
      <c r="M642" s="1" t="s">
        <v>21</v>
      </c>
      <c r="N642" s="1">
        <f>SUM(Table3[[#This Row],[Unit_Price]]-Table3[[#This Row],[Unit_Cost]])</f>
        <v>133.68000000000029</v>
      </c>
      <c r="O642" s="7"/>
      <c r="P642" s="7"/>
      <c r="Q642" s="7"/>
      <c r="S642"/>
    </row>
    <row r="643" spans="1:19" x14ac:dyDescent="0.3">
      <c r="A643" s="1">
        <v>1016</v>
      </c>
      <c r="B643" s="2">
        <v>45103</v>
      </c>
      <c r="C643" s="1" t="s">
        <v>29</v>
      </c>
      <c r="D643" s="1" t="s">
        <v>48</v>
      </c>
      <c r="E643" s="1">
        <v>9027.56</v>
      </c>
      <c r="F643" s="1">
        <v>3</v>
      </c>
      <c r="G643" s="1" t="s">
        <v>31</v>
      </c>
      <c r="H643" s="1">
        <v>3401.87</v>
      </c>
      <c r="I643" s="1">
        <v>3733.71</v>
      </c>
      <c r="J643" s="1" t="s">
        <v>17</v>
      </c>
      <c r="K643" s="1">
        <v>0.06</v>
      </c>
      <c r="L643" s="1" t="s">
        <v>25</v>
      </c>
      <c r="M643" s="1" t="s">
        <v>21</v>
      </c>
      <c r="N643" s="1">
        <f>SUM(Table3[[#This Row],[Unit_Price]]-Table3[[#This Row],[Unit_Cost]])</f>
        <v>331.84000000000015</v>
      </c>
      <c r="O643" s="7"/>
      <c r="P643" s="7"/>
      <c r="Q643" s="7"/>
      <c r="S643"/>
    </row>
    <row r="644" spans="1:19" x14ac:dyDescent="0.3">
      <c r="A644" s="1">
        <v>1057</v>
      </c>
      <c r="B644" s="2">
        <v>44935</v>
      </c>
      <c r="C644" s="1" t="s">
        <v>29</v>
      </c>
      <c r="D644" s="1" t="s">
        <v>49</v>
      </c>
      <c r="E644" s="1">
        <v>2114.38</v>
      </c>
      <c r="F644" s="1">
        <v>12</v>
      </c>
      <c r="G644" s="1" t="s">
        <v>16</v>
      </c>
      <c r="H644" s="1">
        <v>639.16</v>
      </c>
      <c r="I644" s="1">
        <v>746.28</v>
      </c>
      <c r="J644" s="1" t="s">
        <v>17</v>
      </c>
      <c r="K644" s="1">
        <v>0.04</v>
      </c>
      <c r="L644" s="1" t="s">
        <v>25</v>
      </c>
      <c r="M644" s="1" t="s">
        <v>21</v>
      </c>
      <c r="N644" s="1">
        <f>SUM(Table3[[#This Row],[Unit_Price]]-Table3[[#This Row],[Unit_Cost]])</f>
        <v>107.12</v>
      </c>
      <c r="O644" s="7"/>
      <c r="P644" s="7"/>
      <c r="Q644" s="7"/>
      <c r="S644"/>
    </row>
    <row r="645" spans="1:19" x14ac:dyDescent="0.3">
      <c r="A645" s="1">
        <v>1039</v>
      </c>
      <c r="B645" s="2">
        <v>45025</v>
      </c>
      <c r="C645" s="1" t="s">
        <v>33</v>
      </c>
      <c r="D645" s="1" t="s">
        <v>50</v>
      </c>
      <c r="E645" s="1">
        <v>763.04</v>
      </c>
      <c r="F645" s="1">
        <v>3</v>
      </c>
      <c r="G645" s="1" t="s">
        <v>24</v>
      </c>
      <c r="H645" s="1">
        <v>391.19</v>
      </c>
      <c r="I645" s="1">
        <v>471.75</v>
      </c>
      <c r="J645" s="1" t="s">
        <v>17</v>
      </c>
      <c r="K645" s="1">
        <v>0.27</v>
      </c>
      <c r="L645" s="1" t="s">
        <v>18</v>
      </c>
      <c r="M645" s="1" t="s">
        <v>19</v>
      </c>
      <c r="N645" s="1">
        <f>SUM(Table3[[#This Row],[Unit_Price]]-Table3[[#This Row],[Unit_Cost]])</f>
        <v>80.56</v>
      </c>
      <c r="O645" s="7"/>
      <c r="P645" s="7"/>
      <c r="Q645" s="7"/>
      <c r="S645"/>
    </row>
    <row r="646" spans="1:19" x14ac:dyDescent="0.3">
      <c r="A646" s="1">
        <v>1053</v>
      </c>
      <c r="B646" s="2">
        <v>44946</v>
      </c>
      <c r="C646" s="1" t="s">
        <v>22</v>
      </c>
      <c r="D646" s="1" t="s">
        <v>44</v>
      </c>
      <c r="E646" s="1">
        <v>8785.77</v>
      </c>
      <c r="F646" s="1">
        <v>42</v>
      </c>
      <c r="G646" s="1" t="s">
        <v>16</v>
      </c>
      <c r="H646" s="1">
        <v>2443.5700000000002</v>
      </c>
      <c r="I646" s="1">
        <v>2943.31</v>
      </c>
      <c r="J646" s="1" t="s">
        <v>27</v>
      </c>
      <c r="K646" s="1">
        <v>0.28999999999999998</v>
      </c>
      <c r="L646" s="1" t="s">
        <v>18</v>
      </c>
      <c r="M646" s="1" t="s">
        <v>19</v>
      </c>
      <c r="N646" s="1">
        <f>SUM(Table3[[#This Row],[Unit_Price]]-Table3[[#This Row],[Unit_Cost]])</f>
        <v>499.73999999999978</v>
      </c>
      <c r="O646" s="7"/>
      <c r="P646" s="7"/>
      <c r="Q646" s="7"/>
      <c r="S646"/>
    </row>
    <row r="647" spans="1:19" x14ac:dyDescent="0.3">
      <c r="A647" s="1">
        <v>1042</v>
      </c>
      <c r="B647" s="2">
        <v>45167</v>
      </c>
      <c r="C647" s="1" t="s">
        <v>32</v>
      </c>
      <c r="D647" s="1" t="s">
        <v>45</v>
      </c>
      <c r="E647" s="1">
        <v>3955.11</v>
      </c>
      <c r="F647" s="1">
        <v>27</v>
      </c>
      <c r="G647" s="1" t="s">
        <v>26</v>
      </c>
      <c r="H647" s="1">
        <v>1139.45</v>
      </c>
      <c r="I647" s="1">
        <v>1454.41</v>
      </c>
      <c r="J647" s="1" t="s">
        <v>17</v>
      </c>
      <c r="K647" s="1">
        <v>0.3</v>
      </c>
      <c r="L647" s="1" t="s">
        <v>25</v>
      </c>
      <c r="M647" s="1" t="s">
        <v>19</v>
      </c>
      <c r="N647" s="1">
        <f>SUM(Table3[[#This Row],[Unit_Price]]-Table3[[#This Row],[Unit_Cost]])</f>
        <v>314.96000000000004</v>
      </c>
      <c r="O647" s="7"/>
      <c r="P647" s="7"/>
      <c r="Q647" s="7"/>
      <c r="S647"/>
    </row>
    <row r="648" spans="1:19" x14ac:dyDescent="0.3">
      <c r="A648" s="1">
        <v>1058</v>
      </c>
      <c r="B648" s="2">
        <v>44987</v>
      </c>
      <c r="C648" s="1" t="s">
        <v>32</v>
      </c>
      <c r="D648" s="1" t="s">
        <v>46</v>
      </c>
      <c r="E648" s="1">
        <v>5463.43</v>
      </c>
      <c r="F648" s="1">
        <v>49</v>
      </c>
      <c r="G648" s="1" t="s">
        <v>16</v>
      </c>
      <c r="H648" s="1">
        <v>1307.22</v>
      </c>
      <c r="I648" s="1">
        <v>1528.4</v>
      </c>
      <c r="J648" s="1" t="s">
        <v>17</v>
      </c>
      <c r="K648" s="1">
        <v>0.24</v>
      </c>
      <c r="L648" s="1" t="s">
        <v>18</v>
      </c>
      <c r="M648" s="1" t="s">
        <v>21</v>
      </c>
      <c r="N648" s="1">
        <f>SUM(Table3[[#This Row],[Unit_Price]]-Table3[[#This Row],[Unit_Cost]])</f>
        <v>221.18000000000006</v>
      </c>
      <c r="O648" s="7"/>
      <c r="P648" s="7"/>
      <c r="Q648" s="7"/>
      <c r="S648"/>
    </row>
    <row r="649" spans="1:19" x14ac:dyDescent="0.3">
      <c r="A649" s="1">
        <v>1039</v>
      </c>
      <c r="B649" s="2">
        <v>45104</v>
      </c>
      <c r="C649" s="1" t="s">
        <v>14</v>
      </c>
      <c r="D649" s="1" t="s">
        <v>47</v>
      </c>
      <c r="E649" s="1">
        <v>9683.85</v>
      </c>
      <c r="F649" s="1">
        <v>2</v>
      </c>
      <c r="G649" s="1" t="s">
        <v>31</v>
      </c>
      <c r="H649" s="1">
        <v>4394.58</v>
      </c>
      <c r="I649" s="1">
        <v>4545.78</v>
      </c>
      <c r="J649" s="1" t="s">
        <v>17</v>
      </c>
      <c r="K649" s="1">
        <v>0.2</v>
      </c>
      <c r="L649" s="1" t="s">
        <v>28</v>
      </c>
      <c r="M649" s="1" t="s">
        <v>21</v>
      </c>
      <c r="N649" s="1">
        <f>SUM(Table3[[#This Row],[Unit_Price]]-Table3[[#This Row],[Unit_Cost]])</f>
        <v>151.19999999999982</v>
      </c>
      <c r="O649" s="7"/>
      <c r="P649" s="7"/>
      <c r="Q649" s="7"/>
      <c r="S649"/>
    </row>
    <row r="650" spans="1:19" x14ac:dyDescent="0.3">
      <c r="A650" s="1">
        <v>1014</v>
      </c>
      <c r="B650" s="2">
        <v>45264</v>
      </c>
      <c r="C650" s="1" t="s">
        <v>14</v>
      </c>
      <c r="D650" s="1" t="s">
        <v>48</v>
      </c>
      <c r="E650" s="1">
        <v>758.99</v>
      </c>
      <c r="F650" s="1">
        <v>49</v>
      </c>
      <c r="G650" s="1" t="s">
        <v>16</v>
      </c>
      <c r="H650" s="1">
        <v>493.35</v>
      </c>
      <c r="I650" s="1">
        <v>799.27</v>
      </c>
      <c r="J650" s="1" t="s">
        <v>27</v>
      </c>
      <c r="K650" s="1">
        <v>0.1</v>
      </c>
      <c r="L650" s="1" t="s">
        <v>25</v>
      </c>
      <c r="M650" s="1" t="s">
        <v>19</v>
      </c>
      <c r="N650" s="1">
        <f>SUM(Table3[[#This Row],[Unit_Price]]-Table3[[#This Row],[Unit_Cost]])</f>
        <v>305.91999999999996</v>
      </c>
      <c r="O650" s="7"/>
      <c r="P650" s="7"/>
      <c r="Q650" s="7"/>
      <c r="S650"/>
    </row>
    <row r="651" spans="1:19" x14ac:dyDescent="0.3">
      <c r="A651" s="1">
        <v>1095</v>
      </c>
      <c r="B651" s="2">
        <v>44988</v>
      </c>
      <c r="C651" s="1" t="s">
        <v>32</v>
      </c>
      <c r="D651" s="1" t="s">
        <v>49</v>
      </c>
      <c r="E651" s="1">
        <v>6518.35</v>
      </c>
      <c r="F651" s="1">
        <v>16</v>
      </c>
      <c r="G651" s="1" t="s">
        <v>31</v>
      </c>
      <c r="H651" s="1">
        <v>3591.05</v>
      </c>
      <c r="I651" s="1">
        <v>3625.35</v>
      </c>
      <c r="J651" s="1" t="s">
        <v>17</v>
      </c>
      <c r="K651" s="1">
        <v>0.05</v>
      </c>
      <c r="L651" s="1" t="s">
        <v>28</v>
      </c>
      <c r="M651" s="1" t="s">
        <v>21</v>
      </c>
      <c r="N651" s="1">
        <f>SUM(Table3[[#This Row],[Unit_Price]]-Table3[[#This Row],[Unit_Cost]])</f>
        <v>34.299999999999727</v>
      </c>
      <c r="O651" s="7"/>
      <c r="P651" s="7"/>
      <c r="Q651" s="7"/>
      <c r="S651"/>
    </row>
    <row r="652" spans="1:19" x14ac:dyDescent="0.3">
      <c r="A652" s="1">
        <v>1005</v>
      </c>
      <c r="B652" s="2">
        <v>45071</v>
      </c>
      <c r="C652" s="1" t="s">
        <v>32</v>
      </c>
      <c r="D652" s="1" t="s">
        <v>50</v>
      </c>
      <c r="E652" s="1">
        <v>833.64</v>
      </c>
      <c r="F652" s="1">
        <v>2</v>
      </c>
      <c r="G652" s="1" t="s">
        <v>26</v>
      </c>
      <c r="H652" s="1">
        <v>1392.15</v>
      </c>
      <c r="I652" s="1">
        <v>1448.54</v>
      </c>
      <c r="J652" s="1" t="s">
        <v>17</v>
      </c>
      <c r="K652" s="1">
        <v>0.02</v>
      </c>
      <c r="L652" s="1" t="s">
        <v>25</v>
      </c>
      <c r="M652" s="1" t="s">
        <v>21</v>
      </c>
      <c r="N652" s="1">
        <f>SUM(Table3[[#This Row],[Unit_Price]]-Table3[[#This Row],[Unit_Cost]])</f>
        <v>56.389999999999873</v>
      </c>
      <c r="O652" s="7"/>
      <c r="P652" s="7"/>
      <c r="Q652" s="7"/>
      <c r="S652"/>
    </row>
    <row r="653" spans="1:19" x14ac:dyDescent="0.3">
      <c r="A653" s="1">
        <v>1035</v>
      </c>
      <c r="B653" s="2">
        <v>45142</v>
      </c>
      <c r="C653" s="1" t="s">
        <v>22</v>
      </c>
      <c r="D653" s="1" t="s">
        <v>44</v>
      </c>
      <c r="E653" s="1">
        <v>3817.14</v>
      </c>
      <c r="F653" s="1">
        <v>30</v>
      </c>
      <c r="G653" s="1" t="s">
        <v>31</v>
      </c>
      <c r="H653" s="1">
        <v>3813.62</v>
      </c>
      <c r="I653" s="1">
        <v>3839.72</v>
      </c>
      <c r="J653" s="1" t="s">
        <v>27</v>
      </c>
      <c r="K653" s="1">
        <v>0.21</v>
      </c>
      <c r="L653" s="1" t="s">
        <v>28</v>
      </c>
      <c r="M653" s="1" t="s">
        <v>19</v>
      </c>
      <c r="N653" s="1">
        <f>SUM(Table3[[#This Row],[Unit_Price]]-Table3[[#This Row],[Unit_Cost]])</f>
        <v>26.099999999999909</v>
      </c>
      <c r="O653" s="7"/>
      <c r="P653" s="7"/>
      <c r="Q653" s="7"/>
      <c r="S653"/>
    </row>
    <row r="654" spans="1:19" x14ac:dyDescent="0.3">
      <c r="A654" s="1">
        <v>1087</v>
      </c>
      <c r="B654" s="2">
        <v>44929</v>
      </c>
      <c r="C654" s="1" t="s">
        <v>29</v>
      </c>
      <c r="D654" s="1" t="s">
        <v>45</v>
      </c>
      <c r="E654" s="1">
        <v>8057.76</v>
      </c>
      <c r="F654" s="1">
        <v>20</v>
      </c>
      <c r="G654" s="1" t="s">
        <v>16</v>
      </c>
      <c r="H654" s="1">
        <v>3625.94</v>
      </c>
      <c r="I654" s="1">
        <v>3880.53</v>
      </c>
      <c r="J654" s="1" t="s">
        <v>27</v>
      </c>
      <c r="K654" s="1">
        <v>0.24</v>
      </c>
      <c r="L654" s="1" t="s">
        <v>25</v>
      </c>
      <c r="M654" s="1" t="s">
        <v>19</v>
      </c>
      <c r="N654" s="1">
        <f>SUM(Table3[[#This Row],[Unit_Price]]-Table3[[#This Row],[Unit_Cost]])</f>
        <v>254.59000000000015</v>
      </c>
      <c r="O654" s="7"/>
      <c r="P654" s="7"/>
      <c r="Q654" s="7"/>
      <c r="S654"/>
    </row>
    <row r="655" spans="1:19" x14ac:dyDescent="0.3">
      <c r="A655" s="1">
        <v>1093</v>
      </c>
      <c r="B655" s="2">
        <v>45086</v>
      </c>
      <c r="C655" s="1" t="s">
        <v>14</v>
      </c>
      <c r="D655" s="1" t="s">
        <v>46</v>
      </c>
      <c r="E655" s="1">
        <v>4391.38</v>
      </c>
      <c r="F655" s="1">
        <v>38</v>
      </c>
      <c r="G655" s="1" t="s">
        <v>24</v>
      </c>
      <c r="H655" s="1">
        <v>86.59</v>
      </c>
      <c r="I655" s="1">
        <v>390.89</v>
      </c>
      <c r="J655" s="1" t="s">
        <v>17</v>
      </c>
      <c r="K655" s="1">
        <v>0.25</v>
      </c>
      <c r="L655" s="1" t="s">
        <v>28</v>
      </c>
      <c r="M655" s="1" t="s">
        <v>19</v>
      </c>
      <c r="N655" s="1">
        <f>SUM(Table3[[#This Row],[Unit_Price]]-Table3[[#This Row],[Unit_Cost]])</f>
        <v>304.29999999999995</v>
      </c>
      <c r="O655" s="7"/>
      <c r="P655" s="7"/>
      <c r="Q655" s="7"/>
      <c r="S655"/>
    </row>
    <row r="656" spans="1:19" x14ac:dyDescent="0.3">
      <c r="A656" s="1">
        <v>1075</v>
      </c>
      <c r="B656" s="2">
        <v>45153</v>
      </c>
      <c r="C656" s="1" t="s">
        <v>29</v>
      </c>
      <c r="D656" s="1" t="s">
        <v>47</v>
      </c>
      <c r="E656" s="1">
        <v>9972.11</v>
      </c>
      <c r="F656" s="1">
        <v>28</v>
      </c>
      <c r="G656" s="1" t="s">
        <v>26</v>
      </c>
      <c r="H656" s="1">
        <v>2570.2199999999998</v>
      </c>
      <c r="I656" s="1">
        <v>2610.8399999999901</v>
      </c>
      <c r="J656" s="1" t="s">
        <v>17</v>
      </c>
      <c r="K656" s="1">
        <v>0.27</v>
      </c>
      <c r="L656" s="1" t="s">
        <v>25</v>
      </c>
      <c r="M656" s="1" t="s">
        <v>21</v>
      </c>
      <c r="N656" s="1">
        <f>SUM(Table3[[#This Row],[Unit_Price]]-Table3[[#This Row],[Unit_Cost]])</f>
        <v>40.619999999990341</v>
      </c>
      <c r="O656" s="7"/>
      <c r="P656" s="7"/>
      <c r="Q656" s="7"/>
      <c r="S656"/>
    </row>
    <row r="657" spans="1:19" x14ac:dyDescent="0.3">
      <c r="A657" s="1">
        <v>1018</v>
      </c>
      <c r="B657" s="2">
        <v>45195</v>
      </c>
      <c r="C657" s="1" t="s">
        <v>22</v>
      </c>
      <c r="D657" s="1" t="s">
        <v>48</v>
      </c>
      <c r="E657" s="1">
        <v>5634.69</v>
      </c>
      <c r="F657" s="1">
        <v>25</v>
      </c>
      <c r="G657" s="1" t="s">
        <v>16</v>
      </c>
      <c r="H657" s="1">
        <v>739.63</v>
      </c>
      <c r="I657" s="1">
        <v>1103.03</v>
      </c>
      <c r="J657" s="1" t="s">
        <v>27</v>
      </c>
      <c r="K657" s="1">
        <v>0.26</v>
      </c>
      <c r="L657" s="1" t="s">
        <v>25</v>
      </c>
      <c r="M657" s="1" t="s">
        <v>21</v>
      </c>
      <c r="N657" s="1">
        <f>SUM(Table3[[#This Row],[Unit_Price]]-Table3[[#This Row],[Unit_Cost]])</f>
        <v>363.4</v>
      </c>
      <c r="O657" s="7"/>
      <c r="P657" s="7"/>
      <c r="Q657" s="7"/>
      <c r="S657"/>
    </row>
    <row r="658" spans="1:19" x14ac:dyDescent="0.3">
      <c r="A658" s="1">
        <v>1076</v>
      </c>
      <c r="B658" s="2">
        <v>45046</v>
      </c>
      <c r="C658" s="1" t="s">
        <v>32</v>
      </c>
      <c r="D658" s="1" t="s">
        <v>49</v>
      </c>
      <c r="E658" s="1">
        <v>3279.51</v>
      </c>
      <c r="F658" s="1">
        <v>32</v>
      </c>
      <c r="G658" s="1" t="s">
        <v>26</v>
      </c>
      <c r="H658" s="1">
        <v>4337.82</v>
      </c>
      <c r="I658" s="1">
        <v>4460.71</v>
      </c>
      <c r="J658" s="1" t="s">
        <v>17</v>
      </c>
      <c r="K658" s="1">
        <v>0.3</v>
      </c>
      <c r="L658" s="1" t="s">
        <v>18</v>
      </c>
      <c r="M658" s="1" t="s">
        <v>21</v>
      </c>
      <c r="N658" s="1">
        <f>SUM(Table3[[#This Row],[Unit_Price]]-Table3[[#This Row],[Unit_Cost]])</f>
        <v>122.89000000000033</v>
      </c>
      <c r="O658" s="7"/>
      <c r="P658" s="7"/>
      <c r="Q658" s="7"/>
      <c r="S658"/>
    </row>
    <row r="659" spans="1:19" x14ac:dyDescent="0.3">
      <c r="A659" s="1">
        <v>1009</v>
      </c>
      <c r="B659" s="2">
        <v>45015</v>
      </c>
      <c r="C659" s="1" t="s">
        <v>29</v>
      </c>
      <c r="D659" s="1" t="s">
        <v>50</v>
      </c>
      <c r="E659" s="1">
        <v>2279.1</v>
      </c>
      <c r="F659" s="1">
        <v>10</v>
      </c>
      <c r="G659" s="1" t="s">
        <v>26</v>
      </c>
      <c r="H659" s="1">
        <v>4364.3500000000004</v>
      </c>
      <c r="I659" s="1">
        <v>4710.1000000000004</v>
      </c>
      <c r="J659" s="1" t="s">
        <v>27</v>
      </c>
      <c r="K659" s="1">
        <v>7.0000000000000007E-2</v>
      </c>
      <c r="L659" s="1" t="s">
        <v>28</v>
      </c>
      <c r="M659" s="1" t="s">
        <v>19</v>
      </c>
      <c r="N659" s="1">
        <f>SUM(Table3[[#This Row],[Unit_Price]]-Table3[[#This Row],[Unit_Cost]])</f>
        <v>345.75</v>
      </c>
      <c r="O659" s="7"/>
      <c r="P659" s="7"/>
      <c r="Q659" s="7"/>
      <c r="S659"/>
    </row>
    <row r="660" spans="1:19" x14ac:dyDescent="0.3">
      <c r="A660" s="1">
        <v>1074</v>
      </c>
      <c r="B660" s="2">
        <v>45255</v>
      </c>
      <c r="C660" s="1" t="s">
        <v>32</v>
      </c>
      <c r="D660" s="1" t="s">
        <v>44</v>
      </c>
      <c r="E660" s="1">
        <v>3570.15</v>
      </c>
      <c r="F660" s="1">
        <v>42</v>
      </c>
      <c r="G660" s="1" t="s">
        <v>16</v>
      </c>
      <c r="H660" s="1">
        <v>2120.81</v>
      </c>
      <c r="I660" s="1">
        <v>2611.94</v>
      </c>
      <c r="J660" s="1" t="s">
        <v>17</v>
      </c>
      <c r="K660" s="1">
        <v>0.23</v>
      </c>
      <c r="L660" s="1" t="s">
        <v>18</v>
      </c>
      <c r="M660" s="1" t="s">
        <v>19</v>
      </c>
      <c r="N660" s="1">
        <f>SUM(Table3[[#This Row],[Unit_Price]]-Table3[[#This Row],[Unit_Cost]])</f>
        <v>491.13000000000011</v>
      </c>
      <c r="O660" s="7"/>
      <c r="P660" s="7"/>
      <c r="Q660" s="7"/>
      <c r="S660"/>
    </row>
    <row r="661" spans="1:19" x14ac:dyDescent="0.3">
      <c r="A661" s="1">
        <v>1058</v>
      </c>
      <c r="B661" s="2">
        <v>44994</v>
      </c>
      <c r="C661" s="1" t="s">
        <v>32</v>
      </c>
      <c r="D661" s="1" t="s">
        <v>45</v>
      </c>
      <c r="E661" s="1">
        <v>3788.08</v>
      </c>
      <c r="F661" s="1">
        <v>40</v>
      </c>
      <c r="G661" s="1" t="s">
        <v>16</v>
      </c>
      <c r="H661" s="1">
        <v>2249.7600000000002</v>
      </c>
      <c r="I661" s="1">
        <v>2598.4</v>
      </c>
      <c r="J661" s="1" t="s">
        <v>17</v>
      </c>
      <c r="K661" s="1">
        <v>0.18</v>
      </c>
      <c r="L661" s="1" t="s">
        <v>28</v>
      </c>
      <c r="M661" s="1" t="s">
        <v>21</v>
      </c>
      <c r="N661" s="1">
        <f>SUM(Table3[[#This Row],[Unit_Price]]-Table3[[#This Row],[Unit_Cost]])</f>
        <v>348.63999999999987</v>
      </c>
      <c r="O661" s="7"/>
      <c r="P661" s="7"/>
      <c r="Q661" s="7"/>
      <c r="S661"/>
    </row>
    <row r="662" spans="1:19" x14ac:dyDescent="0.3">
      <c r="A662" s="1">
        <v>1017</v>
      </c>
      <c r="B662" s="2">
        <v>45283</v>
      </c>
      <c r="C662" s="1" t="s">
        <v>33</v>
      </c>
      <c r="D662" s="1" t="s">
        <v>46</v>
      </c>
      <c r="E662" s="1">
        <v>780.27</v>
      </c>
      <c r="F662" s="1">
        <v>33</v>
      </c>
      <c r="G662" s="1" t="s">
        <v>24</v>
      </c>
      <c r="H662" s="1">
        <v>1551.25</v>
      </c>
      <c r="I662" s="1">
        <v>1994.01</v>
      </c>
      <c r="J662" s="1" t="s">
        <v>17</v>
      </c>
      <c r="K662" s="1">
        <v>0.08</v>
      </c>
      <c r="L662" s="1" t="s">
        <v>18</v>
      </c>
      <c r="M662" s="1" t="s">
        <v>19</v>
      </c>
      <c r="N662" s="1">
        <f>SUM(Table3[[#This Row],[Unit_Price]]-Table3[[#This Row],[Unit_Cost]])</f>
        <v>442.76</v>
      </c>
      <c r="O662" s="7"/>
      <c r="P662" s="7"/>
      <c r="Q662" s="7"/>
      <c r="S662"/>
    </row>
    <row r="663" spans="1:19" x14ac:dyDescent="0.3">
      <c r="A663" s="1">
        <v>1007</v>
      </c>
      <c r="B663" s="2">
        <v>45024</v>
      </c>
      <c r="C663" s="1" t="s">
        <v>29</v>
      </c>
      <c r="D663" s="1" t="s">
        <v>47</v>
      </c>
      <c r="E663" s="1">
        <v>3758.78</v>
      </c>
      <c r="F663" s="1">
        <v>13</v>
      </c>
      <c r="G663" s="1" t="s">
        <v>26</v>
      </c>
      <c r="H663" s="1">
        <v>3597.2</v>
      </c>
      <c r="I663" s="1">
        <v>4071.8199999999902</v>
      </c>
      <c r="J663" s="1" t="s">
        <v>17</v>
      </c>
      <c r="K663" s="1">
        <v>0.28999999999999998</v>
      </c>
      <c r="L663" s="1" t="s">
        <v>25</v>
      </c>
      <c r="M663" s="1" t="s">
        <v>19</v>
      </c>
      <c r="N663" s="1">
        <f>SUM(Table3[[#This Row],[Unit_Price]]-Table3[[#This Row],[Unit_Cost]])</f>
        <v>474.61999999999034</v>
      </c>
      <c r="O663" s="7"/>
      <c r="P663" s="7"/>
      <c r="Q663" s="7"/>
      <c r="S663"/>
    </row>
    <row r="664" spans="1:19" x14ac:dyDescent="0.3">
      <c r="A664" s="1">
        <v>1046</v>
      </c>
      <c r="B664" s="2">
        <v>45193</v>
      </c>
      <c r="C664" s="1" t="s">
        <v>29</v>
      </c>
      <c r="D664" s="1" t="s">
        <v>48</v>
      </c>
      <c r="E664" s="1">
        <v>4695.96</v>
      </c>
      <c r="F664" s="1">
        <v>41</v>
      </c>
      <c r="G664" s="1" t="s">
        <v>26</v>
      </c>
      <c r="H664" s="1">
        <v>1825.37</v>
      </c>
      <c r="I664" s="1">
        <v>2073.88</v>
      </c>
      <c r="J664" s="1" t="s">
        <v>17</v>
      </c>
      <c r="K664" s="1">
        <v>0.27</v>
      </c>
      <c r="L664" s="1" t="s">
        <v>18</v>
      </c>
      <c r="M664" s="1" t="s">
        <v>21</v>
      </c>
      <c r="N664" s="1">
        <f>SUM(Table3[[#This Row],[Unit_Price]]-Table3[[#This Row],[Unit_Cost]])</f>
        <v>248.51000000000022</v>
      </c>
      <c r="O664" s="7"/>
      <c r="P664" s="7"/>
      <c r="Q664" s="7"/>
      <c r="S664"/>
    </row>
    <row r="665" spans="1:19" x14ac:dyDescent="0.3">
      <c r="A665" s="1">
        <v>1013</v>
      </c>
      <c r="B665" s="2">
        <v>45031</v>
      </c>
      <c r="C665" s="1" t="s">
        <v>32</v>
      </c>
      <c r="D665" s="1" t="s">
        <v>49</v>
      </c>
      <c r="E665" s="1">
        <v>7255.1</v>
      </c>
      <c r="F665" s="1">
        <v>42</v>
      </c>
      <c r="G665" s="1" t="s">
        <v>16</v>
      </c>
      <c r="H665" s="1">
        <v>1375.57</v>
      </c>
      <c r="I665" s="1">
        <v>1729.71</v>
      </c>
      <c r="J665" s="1" t="s">
        <v>27</v>
      </c>
      <c r="K665" s="1">
        <v>0.04</v>
      </c>
      <c r="L665" s="1" t="s">
        <v>18</v>
      </c>
      <c r="M665" s="1" t="s">
        <v>19</v>
      </c>
      <c r="N665" s="1">
        <f>SUM(Table3[[#This Row],[Unit_Price]]-Table3[[#This Row],[Unit_Cost]])</f>
        <v>354.1400000000001</v>
      </c>
      <c r="O665" s="7"/>
      <c r="P665" s="7"/>
      <c r="Q665" s="7"/>
      <c r="S665"/>
    </row>
    <row r="666" spans="1:19" x14ac:dyDescent="0.3">
      <c r="A666" s="1">
        <v>1040</v>
      </c>
      <c r="B666" s="2">
        <v>45249</v>
      </c>
      <c r="C666" s="1" t="s">
        <v>22</v>
      </c>
      <c r="D666" s="1" t="s">
        <v>50</v>
      </c>
      <c r="E666" s="1">
        <v>6601.62</v>
      </c>
      <c r="F666" s="1">
        <v>47</v>
      </c>
      <c r="G666" s="1" t="s">
        <v>31</v>
      </c>
      <c r="H666" s="1">
        <v>2189.54</v>
      </c>
      <c r="I666" s="1">
        <v>2617</v>
      </c>
      <c r="J666" s="1" t="s">
        <v>27</v>
      </c>
      <c r="K666" s="1">
        <v>0.01</v>
      </c>
      <c r="L666" s="1" t="s">
        <v>25</v>
      </c>
      <c r="M666" s="1" t="s">
        <v>19</v>
      </c>
      <c r="N666" s="1">
        <f>SUM(Table3[[#This Row],[Unit_Price]]-Table3[[#This Row],[Unit_Cost]])</f>
        <v>427.46000000000004</v>
      </c>
      <c r="O666" s="7"/>
      <c r="P666" s="7"/>
      <c r="Q666" s="7"/>
      <c r="S666"/>
    </row>
    <row r="667" spans="1:19" x14ac:dyDescent="0.3">
      <c r="A667" s="1">
        <v>1042</v>
      </c>
      <c r="B667" s="2">
        <v>45049</v>
      </c>
      <c r="C667" s="1" t="s">
        <v>33</v>
      </c>
      <c r="D667" s="1" t="s">
        <v>44</v>
      </c>
      <c r="E667" s="1">
        <v>7116.78</v>
      </c>
      <c r="F667" s="1">
        <v>37</v>
      </c>
      <c r="G667" s="1" t="s">
        <v>16</v>
      </c>
      <c r="H667" s="1">
        <v>502.86</v>
      </c>
      <c r="I667" s="1">
        <v>687.6</v>
      </c>
      <c r="J667" s="1" t="s">
        <v>17</v>
      </c>
      <c r="K667" s="1">
        <v>0.21</v>
      </c>
      <c r="L667" s="1" t="s">
        <v>18</v>
      </c>
      <c r="M667" s="1" t="s">
        <v>19</v>
      </c>
      <c r="N667" s="1">
        <f>SUM(Table3[[#This Row],[Unit_Price]]-Table3[[#This Row],[Unit_Cost]])</f>
        <v>184.74</v>
      </c>
      <c r="O667" s="7"/>
      <c r="P667" s="7"/>
      <c r="Q667" s="7"/>
      <c r="S667"/>
    </row>
    <row r="668" spans="1:19" x14ac:dyDescent="0.3">
      <c r="A668" s="1">
        <v>1009</v>
      </c>
      <c r="B668" s="2">
        <v>44955</v>
      </c>
      <c r="C668" s="1" t="s">
        <v>32</v>
      </c>
      <c r="D668" s="1" t="s">
        <v>45</v>
      </c>
      <c r="E668" s="1">
        <v>182.8</v>
      </c>
      <c r="F668" s="1">
        <v>16</v>
      </c>
      <c r="G668" s="1" t="s">
        <v>26</v>
      </c>
      <c r="H668" s="1">
        <v>3745.69</v>
      </c>
      <c r="I668" s="1">
        <v>3883.77</v>
      </c>
      <c r="J668" s="1" t="s">
        <v>17</v>
      </c>
      <c r="K668" s="1">
        <v>0.18</v>
      </c>
      <c r="L668" s="1" t="s">
        <v>25</v>
      </c>
      <c r="M668" s="1" t="s">
        <v>21</v>
      </c>
      <c r="N668" s="1">
        <f>SUM(Table3[[#This Row],[Unit_Price]]-Table3[[#This Row],[Unit_Cost]])</f>
        <v>138.07999999999993</v>
      </c>
      <c r="O668" s="7"/>
      <c r="P668" s="7"/>
      <c r="Q668" s="7"/>
      <c r="S668"/>
    </row>
    <row r="669" spans="1:19" x14ac:dyDescent="0.3">
      <c r="A669" s="1">
        <v>1050</v>
      </c>
      <c r="B669" s="2">
        <v>45063</v>
      </c>
      <c r="C669" s="1" t="s">
        <v>14</v>
      </c>
      <c r="D669" s="1" t="s">
        <v>46</v>
      </c>
      <c r="E669" s="1">
        <v>2254.91</v>
      </c>
      <c r="F669" s="1">
        <v>45</v>
      </c>
      <c r="G669" s="1" t="s">
        <v>16</v>
      </c>
      <c r="H669" s="1">
        <v>112.35</v>
      </c>
      <c r="I669" s="1">
        <v>586.17999999999995</v>
      </c>
      <c r="J669" s="1" t="s">
        <v>17</v>
      </c>
      <c r="K669" s="1">
        <v>0.28000000000000003</v>
      </c>
      <c r="L669" s="1" t="s">
        <v>28</v>
      </c>
      <c r="M669" s="1" t="s">
        <v>21</v>
      </c>
      <c r="N669" s="1">
        <f>SUM(Table3[[#This Row],[Unit_Price]]-Table3[[#This Row],[Unit_Cost]])</f>
        <v>473.82999999999993</v>
      </c>
      <c r="O669" s="7"/>
      <c r="P669" s="7"/>
      <c r="Q669" s="7"/>
      <c r="S669"/>
    </row>
    <row r="670" spans="1:19" x14ac:dyDescent="0.3">
      <c r="A670" s="1">
        <v>1027</v>
      </c>
      <c r="B670" s="2">
        <v>45121</v>
      </c>
      <c r="C670" s="1" t="s">
        <v>14</v>
      </c>
      <c r="D670" s="1" t="s">
        <v>47</v>
      </c>
      <c r="E670" s="1">
        <v>6650.67</v>
      </c>
      <c r="F670" s="1">
        <v>22</v>
      </c>
      <c r="G670" s="1" t="s">
        <v>24</v>
      </c>
      <c r="H670" s="1">
        <v>3240.2</v>
      </c>
      <c r="I670" s="1">
        <v>3606.0899999999901</v>
      </c>
      <c r="J670" s="1" t="s">
        <v>27</v>
      </c>
      <c r="K670" s="1">
        <v>7.0000000000000007E-2</v>
      </c>
      <c r="L670" s="1" t="s">
        <v>18</v>
      </c>
      <c r="M670" s="1" t="s">
        <v>19</v>
      </c>
      <c r="N670" s="1">
        <f>SUM(Table3[[#This Row],[Unit_Price]]-Table3[[#This Row],[Unit_Cost]])</f>
        <v>365.88999999999032</v>
      </c>
      <c r="O670" s="7"/>
      <c r="P670" s="7"/>
      <c r="Q670" s="7"/>
      <c r="S670"/>
    </row>
    <row r="671" spans="1:19" x14ac:dyDescent="0.3">
      <c r="A671" s="1">
        <v>1066</v>
      </c>
      <c r="B671" s="2">
        <v>45152</v>
      </c>
      <c r="C671" s="1" t="s">
        <v>33</v>
      </c>
      <c r="D671" s="1" t="s">
        <v>48</v>
      </c>
      <c r="E671" s="1">
        <v>4891.49</v>
      </c>
      <c r="F671" s="1">
        <v>20</v>
      </c>
      <c r="G671" s="1" t="s">
        <v>31</v>
      </c>
      <c r="H671" s="1">
        <v>955.18</v>
      </c>
      <c r="I671" s="1">
        <v>1072.82</v>
      </c>
      <c r="J671" s="1" t="s">
        <v>27</v>
      </c>
      <c r="K671" s="1">
        <v>0.03</v>
      </c>
      <c r="L671" s="1" t="s">
        <v>25</v>
      </c>
      <c r="M671" s="1" t="s">
        <v>21</v>
      </c>
      <c r="N671" s="1">
        <f>SUM(Table3[[#This Row],[Unit_Price]]-Table3[[#This Row],[Unit_Cost]])</f>
        <v>117.63999999999999</v>
      </c>
      <c r="O671" s="7"/>
      <c r="P671" s="7"/>
      <c r="Q671" s="7"/>
      <c r="S671"/>
    </row>
    <row r="672" spans="1:19" x14ac:dyDescent="0.3">
      <c r="A672" s="1">
        <v>1005</v>
      </c>
      <c r="B672" s="2">
        <v>45258</v>
      </c>
      <c r="C672" s="1" t="s">
        <v>22</v>
      </c>
      <c r="D672" s="1" t="s">
        <v>49</v>
      </c>
      <c r="E672" s="1">
        <v>152.6</v>
      </c>
      <c r="F672" s="1">
        <v>43</v>
      </c>
      <c r="G672" s="1" t="s">
        <v>16</v>
      </c>
      <c r="H672" s="1">
        <v>1200.4000000000001</v>
      </c>
      <c r="I672" s="1">
        <v>1430.45</v>
      </c>
      <c r="J672" s="1" t="s">
        <v>27</v>
      </c>
      <c r="K672" s="1">
        <v>0.08</v>
      </c>
      <c r="L672" s="1" t="s">
        <v>25</v>
      </c>
      <c r="M672" s="1" t="s">
        <v>21</v>
      </c>
      <c r="N672" s="1">
        <f>SUM(Table3[[#This Row],[Unit_Price]]-Table3[[#This Row],[Unit_Cost]])</f>
        <v>230.04999999999995</v>
      </c>
      <c r="O672" s="7"/>
      <c r="P672" s="7"/>
      <c r="Q672" s="7"/>
      <c r="S672"/>
    </row>
    <row r="673" spans="1:19" x14ac:dyDescent="0.3">
      <c r="A673" s="1">
        <v>1029</v>
      </c>
      <c r="B673" s="2">
        <v>45096</v>
      </c>
      <c r="C673" s="1" t="s">
        <v>32</v>
      </c>
      <c r="D673" s="1" t="s">
        <v>50</v>
      </c>
      <c r="E673" s="1">
        <v>8064.5</v>
      </c>
      <c r="F673" s="1">
        <v>27</v>
      </c>
      <c r="G673" s="1" t="s">
        <v>24</v>
      </c>
      <c r="H673" s="1">
        <v>3196.38</v>
      </c>
      <c r="I673" s="1">
        <v>3596.64</v>
      </c>
      <c r="J673" s="1" t="s">
        <v>27</v>
      </c>
      <c r="K673" s="1">
        <v>0.01</v>
      </c>
      <c r="L673" s="1" t="s">
        <v>18</v>
      </c>
      <c r="M673" s="1" t="s">
        <v>21</v>
      </c>
      <c r="N673" s="1">
        <f>SUM(Table3[[#This Row],[Unit_Price]]-Table3[[#This Row],[Unit_Cost]])</f>
        <v>400.25999999999976</v>
      </c>
      <c r="O673" s="7"/>
      <c r="P673" s="7"/>
      <c r="Q673" s="7"/>
      <c r="S673"/>
    </row>
    <row r="674" spans="1:19" x14ac:dyDescent="0.3">
      <c r="A674" s="1">
        <v>1037</v>
      </c>
      <c r="B674" s="2">
        <v>44935</v>
      </c>
      <c r="C674" s="1" t="s">
        <v>29</v>
      </c>
      <c r="D674" s="1" t="s">
        <v>44</v>
      </c>
      <c r="E674" s="1">
        <v>7750.81</v>
      </c>
      <c r="F674" s="1">
        <v>41</v>
      </c>
      <c r="G674" s="1" t="s">
        <v>26</v>
      </c>
      <c r="H674" s="1">
        <v>4965.07</v>
      </c>
      <c r="I674" s="1">
        <v>5243.13</v>
      </c>
      <c r="J674" s="1" t="s">
        <v>27</v>
      </c>
      <c r="K674" s="1">
        <v>0.01</v>
      </c>
      <c r="L674" s="1" t="s">
        <v>28</v>
      </c>
      <c r="M674" s="1" t="s">
        <v>19</v>
      </c>
      <c r="N674" s="1">
        <f>SUM(Table3[[#This Row],[Unit_Price]]-Table3[[#This Row],[Unit_Cost]])</f>
        <v>278.0600000000004</v>
      </c>
      <c r="O674" s="7"/>
      <c r="P674" s="7"/>
      <c r="Q674" s="7"/>
      <c r="S674"/>
    </row>
    <row r="675" spans="1:19" x14ac:dyDescent="0.3">
      <c r="A675" s="1">
        <v>1038</v>
      </c>
      <c r="B675" s="2">
        <v>44966</v>
      </c>
      <c r="C675" s="1" t="s">
        <v>33</v>
      </c>
      <c r="D675" s="1" t="s">
        <v>45</v>
      </c>
      <c r="E675" s="1">
        <v>5529.35</v>
      </c>
      <c r="F675" s="1">
        <v>16</v>
      </c>
      <c r="G675" s="1" t="s">
        <v>16</v>
      </c>
      <c r="H675" s="1">
        <v>3899.7</v>
      </c>
      <c r="I675" s="1">
        <v>4228.18</v>
      </c>
      <c r="J675" s="1" t="s">
        <v>27</v>
      </c>
      <c r="K675" s="1">
        <v>0.27</v>
      </c>
      <c r="L675" s="1" t="s">
        <v>18</v>
      </c>
      <c r="M675" s="1" t="s">
        <v>21</v>
      </c>
      <c r="N675" s="1">
        <f>SUM(Table3[[#This Row],[Unit_Price]]-Table3[[#This Row],[Unit_Cost]])</f>
        <v>328.48000000000047</v>
      </c>
      <c r="O675" s="7"/>
      <c r="P675" s="7"/>
      <c r="Q675" s="7"/>
      <c r="S675"/>
    </row>
    <row r="676" spans="1:19" x14ac:dyDescent="0.3">
      <c r="A676" s="1">
        <v>1083</v>
      </c>
      <c r="B676" s="2">
        <v>44951</v>
      </c>
      <c r="C676" s="1" t="s">
        <v>22</v>
      </c>
      <c r="D676" s="1" t="s">
        <v>46</v>
      </c>
      <c r="E676" s="1">
        <v>757.99</v>
      </c>
      <c r="F676" s="1">
        <v>34</v>
      </c>
      <c r="G676" s="1" t="s">
        <v>26</v>
      </c>
      <c r="H676" s="1">
        <v>1167.9100000000001</v>
      </c>
      <c r="I676" s="1">
        <v>1547.26</v>
      </c>
      <c r="J676" s="1" t="s">
        <v>27</v>
      </c>
      <c r="K676" s="1">
        <v>0.11</v>
      </c>
      <c r="L676" s="1" t="s">
        <v>25</v>
      </c>
      <c r="M676" s="1" t="s">
        <v>19</v>
      </c>
      <c r="N676" s="1">
        <f>SUM(Table3[[#This Row],[Unit_Price]]-Table3[[#This Row],[Unit_Cost]])</f>
        <v>379.34999999999991</v>
      </c>
      <c r="O676" s="7"/>
      <c r="P676" s="7"/>
      <c r="Q676" s="7"/>
      <c r="S676"/>
    </row>
    <row r="677" spans="1:19" x14ac:dyDescent="0.3">
      <c r="A677" s="1">
        <v>1008</v>
      </c>
      <c r="B677" s="2">
        <v>45187</v>
      </c>
      <c r="C677" s="1" t="s">
        <v>29</v>
      </c>
      <c r="D677" s="1" t="s">
        <v>47</v>
      </c>
      <c r="E677" s="1">
        <v>7688.5</v>
      </c>
      <c r="F677" s="1">
        <v>32</v>
      </c>
      <c r="G677" s="1" t="s">
        <v>24</v>
      </c>
      <c r="H677" s="1">
        <v>921.32</v>
      </c>
      <c r="I677" s="1">
        <v>1236.0999999999999</v>
      </c>
      <c r="J677" s="1" t="s">
        <v>27</v>
      </c>
      <c r="K677" s="1">
        <v>0.12</v>
      </c>
      <c r="L677" s="1" t="s">
        <v>28</v>
      </c>
      <c r="M677" s="1" t="s">
        <v>19</v>
      </c>
      <c r="N677" s="1">
        <f>SUM(Table3[[#This Row],[Unit_Price]]-Table3[[#This Row],[Unit_Cost]])</f>
        <v>314.77999999999986</v>
      </c>
      <c r="O677" s="7"/>
      <c r="P677" s="7"/>
      <c r="Q677" s="7"/>
      <c r="S677"/>
    </row>
    <row r="678" spans="1:19" x14ac:dyDescent="0.3">
      <c r="A678" s="1">
        <v>1065</v>
      </c>
      <c r="B678" s="2">
        <v>45152</v>
      </c>
      <c r="C678" s="1" t="s">
        <v>14</v>
      </c>
      <c r="D678" s="1" t="s">
        <v>48</v>
      </c>
      <c r="E678" s="1">
        <v>5878.76</v>
      </c>
      <c r="F678" s="1">
        <v>26</v>
      </c>
      <c r="G678" s="1" t="s">
        <v>26</v>
      </c>
      <c r="H678" s="1">
        <v>4337.8500000000004</v>
      </c>
      <c r="I678" s="1">
        <v>4612.49</v>
      </c>
      <c r="J678" s="1" t="s">
        <v>17</v>
      </c>
      <c r="K678" s="1">
        <v>0.01</v>
      </c>
      <c r="L678" s="1" t="s">
        <v>18</v>
      </c>
      <c r="M678" s="1" t="s">
        <v>21</v>
      </c>
      <c r="N678" s="1">
        <f>SUM(Table3[[#This Row],[Unit_Price]]-Table3[[#This Row],[Unit_Cost]])</f>
        <v>274.63999999999942</v>
      </c>
      <c r="O678" s="7"/>
      <c r="P678" s="7"/>
      <c r="Q678" s="7"/>
      <c r="S678"/>
    </row>
    <row r="679" spans="1:19" x14ac:dyDescent="0.3">
      <c r="A679" s="1">
        <v>1086</v>
      </c>
      <c r="B679" s="2">
        <v>45050</v>
      </c>
      <c r="C679" s="1" t="s">
        <v>14</v>
      </c>
      <c r="D679" s="1" t="s">
        <v>49</v>
      </c>
      <c r="E679" s="1">
        <v>7841.4</v>
      </c>
      <c r="F679" s="1">
        <v>25</v>
      </c>
      <c r="G679" s="1" t="s">
        <v>24</v>
      </c>
      <c r="H679" s="1">
        <v>2248.71</v>
      </c>
      <c r="I679" s="1">
        <v>2626.02</v>
      </c>
      <c r="J679" s="1" t="s">
        <v>27</v>
      </c>
      <c r="K679" s="1">
        <v>0.08</v>
      </c>
      <c r="L679" s="1" t="s">
        <v>25</v>
      </c>
      <c r="M679" s="1" t="s">
        <v>19</v>
      </c>
      <c r="N679" s="1">
        <f>SUM(Table3[[#This Row],[Unit_Price]]-Table3[[#This Row],[Unit_Cost]])</f>
        <v>377.30999999999995</v>
      </c>
      <c r="O679" s="7"/>
      <c r="P679" s="7"/>
      <c r="Q679" s="7"/>
      <c r="S679"/>
    </row>
    <row r="680" spans="1:19" x14ac:dyDescent="0.3">
      <c r="A680" s="1">
        <v>1017</v>
      </c>
      <c r="B680" s="2">
        <v>44964</v>
      </c>
      <c r="C680" s="1" t="s">
        <v>29</v>
      </c>
      <c r="D680" s="1" t="s">
        <v>50</v>
      </c>
      <c r="E680" s="1">
        <v>7542.3</v>
      </c>
      <c r="F680" s="1">
        <v>2</v>
      </c>
      <c r="G680" s="1" t="s">
        <v>24</v>
      </c>
      <c r="H680" s="1">
        <v>728.41</v>
      </c>
      <c r="I680" s="1">
        <v>1094.92</v>
      </c>
      <c r="J680" s="1" t="s">
        <v>27</v>
      </c>
      <c r="K680" s="1">
        <v>0.24</v>
      </c>
      <c r="L680" s="1" t="s">
        <v>18</v>
      </c>
      <c r="M680" s="1" t="s">
        <v>21</v>
      </c>
      <c r="N680" s="1">
        <f>SUM(Table3[[#This Row],[Unit_Price]]-Table3[[#This Row],[Unit_Cost]])</f>
        <v>366.5100000000001</v>
      </c>
      <c r="O680" s="7"/>
      <c r="P680" s="7"/>
      <c r="Q680" s="7"/>
      <c r="S680"/>
    </row>
    <row r="681" spans="1:19" x14ac:dyDescent="0.3">
      <c r="A681" s="1">
        <v>1071</v>
      </c>
      <c r="B681" s="2">
        <v>45254</v>
      </c>
      <c r="C681" s="1" t="s">
        <v>33</v>
      </c>
      <c r="D681" s="1" t="s">
        <v>44</v>
      </c>
      <c r="E681" s="1">
        <v>8049.72</v>
      </c>
      <c r="F681" s="1">
        <v>12</v>
      </c>
      <c r="G681" s="1" t="s">
        <v>24</v>
      </c>
      <c r="H681" s="1">
        <v>4317.95</v>
      </c>
      <c r="I681" s="1">
        <v>4636.59</v>
      </c>
      <c r="J681" s="1" t="s">
        <v>27</v>
      </c>
      <c r="K681" s="1">
        <v>0.18</v>
      </c>
      <c r="L681" s="1" t="s">
        <v>28</v>
      </c>
      <c r="M681" s="1" t="s">
        <v>21</v>
      </c>
      <c r="N681" s="1">
        <f>SUM(Table3[[#This Row],[Unit_Price]]-Table3[[#This Row],[Unit_Cost]])</f>
        <v>318.64000000000033</v>
      </c>
      <c r="O681" s="7"/>
      <c r="P681" s="7"/>
      <c r="Q681" s="7"/>
      <c r="S681"/>
    </row>
    <row r="682" spans="1:19" x14ac:dyDescent="0.3">
      <c r="A682" s="1">
        <v>1089</v>
      </c>
      <c r="B682" s="2">
        <v>45177</v>
      </c>
      <c r="C682" s="1" t="s">
        <v>14</v>
      </c>
      <c r="D682" s="1" t="s">
        <v>45</v>
      </c>
      <c r="E682" s="1">
        <v>5228.28</v>
      </c>
      <c r="F682" s="1">
        <v>40</v>
      </c>
      <c r="G682" s="1" t="s">
        <v>16</v>
      </c>
      <c r="H682" s="1">
        <v>4089.66</v>
      </c>
      <c r="I682" s="1">
        <v>4275.96</v>
      </c>
      <c r="J682" s="1" t="s">
        <v>27</v>
      </c>
      <c r="K682" s="1">
        <v>0.23</v>
      </c>
      <c r="L682" s="1" t="s">
        <v>28</v>
      </c>
      <c r="M682" s="1" t="s">
        <v>19</v>
      </c>
      <c r="N682" s="1">
        <f>SUM(Table3[[#This Row],[Unit_Price]]-Table3[[#This Row],[Unit_Cost]])</f>
        <v>186.30000000000018</v>
      </c>
      <c r="O682" s="7"/>
      <c r="P682" s="7"/>
      <c r="Q682" s="7"/>
      <c r="S682"/>
    </row>
    <row r="683" spans="1:19" x14ac:dyDescent="0.3">
      <c r="A683" s="1">
        <v>1045</v>
      </c>
      <c r="B683" s="2">
        <v>45102</v>
      </c>
      <c r="C683" s="1" t="s">
        <v>32</v>
      </c>
      <c r="D683" s="1" t="s">
        <v>46</v>
      </c>
      <c r="E683" s="1">
        <v>1489.21</v>
      </c>
      <c r="F683" s="1">
        <v>9</v>
      </c>
      <c r="G683" s="1" t="s">
        <v>26</v>
      </c>
      <c r="H683" s="1">
        <v>4920.34</v>
      </c>
      <c r="I683" s="1">
        <v>5129.1899999999996</v>
      </c>
      <c r="J683" s="1" t="s">
        <v>17</v>
      </c>
      <c r="K683" s="1">
        <v>0.13</v>
      </c>
      <c r="L683" s="1" t="s">
        <v>28</v>
      </c>
      <c r="M683" s="1" t="s">
        <v>19</v>
      </c>
      <c r="N683" s="1">
        <f>SUM(Table3[[#This Row],[Unit_Price]]-Table3[[#This Row],[Unit_Cost]])</f>
        <v>208.84999999999945</v>
      </c>
      <c r="O683" s="7"/>
      <c r="P683" s="7"/>
      <c r="Q683" s="7"/>
      <c r="S683"/>
    </row>
    <row r="684" spans="1:19" x14ac:dyDescent="0.3">
      <c r="A684" s="1">
        <v>1004</v>
      </c>
      <c r="B684" s="2">
        <v>45016</v>
      </c>
      <c r="C684" s="1" t="s">
        <v>29</v>
      </c>
      <c r="D684" s="1" t="s">
        <v>47</v>
      </c>
      <c r="E684" s="1">
        <v>6744.46</v>
      </c>
      <c r="F684" s="1">
        <v>12</v>
      </c>
      <c r="G684" s="1" t="s">
        <v>26</v>
      </c>
      <c r="H684" s="1">
        <v>4553.2299999999996</v>
      </c>
      <c r="I684" s="1">
        <v>5038.74</v>
      </c>
      <c r="J684" s="1" t="s">
        <v>27</v>
      </c>
      <c r="K684" s="1">
        <v>0.09</v>
      </c>
      <c r="L684" s="1" t="s">
        <v>28</v>
      </c>
      <c r="M684" s="1" t="s">
        <v>21</v>
      </c>
      <c r="N684" s="1">
        <f>SUM(Table3[[#This Row],[Unit_Price]]-Table3[[#This Row],[Unit_Cost]])</f>
        <v>485.51000000000022</v>
      </c>
      <c r="O684" s="7"/>
      <c r="P684" s="7"/>
      <c r="Q684" s="7"/>
      <c r="S684"/>
    </row>
    <row r="685" spans="1:19" x14ac:dyDescent="0.3">
      <c r="A685" s="1">
        <v>1036</v>
      </c>
      <c r="B685" s="2">
        <v>44963</v>
      </c>
      <c r="C685" s="1" t="s">
        <v>29</v>
      </c>
      <c r="D685" s="1" t="s">
        <v>48</v>
      </c>
      <c r="E685" s="1">
        <v>6242.69</v>
      </c>
      <c r="F685" s="1">
        <v>26</v>
      </c>
      <c r="G685" s="1" t="s">
        <v>31</v>
      </c>
      <c r="H685" s="1">
        <v>4266.3599999999997</v>
      </c>
      <c r="I685" s="1">
        <v>4331.4299999999903</v>
      </c>
      <c r="J685" s="1" t="s">
        <v>17</v>
      </c>
      <c r="K685" s="1">
        <v>0.14000000000000001</v>
      </c>
      <c r="L685" s="1" t="s">
        <v>28</v>
      </c>
      <c r="M685" s="1" t="s">
        <v>21</v>
      </c>
      <c r="N685" s="1">
        <f>SUM(Table3[[#This Row],[Unit_Price]]-Table3[[#This Row],[Unit_Cost]])</f>
        <v>65.069999999990614</v>
      </c>
      <c r="O685" s="7"/>
      <c r="P685" s="7"/>
      <c r="Q685" s="7"/>
      <c r="S685"/>
    </row>
    <row r="686" spans="1:19" x14ac:dyDescent="0.3">
      <c r="A686" s="1">
        <v>1070</v>
      </c>
      <c r="B686" s="2">
        <v>45242</v>
      </c>
      <c r="C686" s="1" t="s">
        <v>14</v>
      </c>
      <c r="D686" s="1" t="s">
        <v>49</v>
      </c>
      <c r="E686" s="1">
        <v>7448.31</v>
      </c>
      <c r="F686" s="1">
        <v>9</v>
      </c>
      <c r="G686" s="1" t="s">
        <v>31</v>
      </c>
      <c r="H686" s="1">
        <v>310.24</v>
      </c>
      <c r="I686" s="1">
        <v>451.81</v>
      </c>
      <c r="J686" s="1" t="s">
        <v>17</v>
      </c>
      <c r="K686" s="1">
        <v>0.1</v>
      </c>
      <c r="L686" s="1" t="s">
        <v>18</v>
      </c>
      <c r="M686" s="1" t="s">
        <v>21</v>
      </c>
      <c r="N686" s="1">
        <f>SUM(Table3[[#This Row],[Unit_Price]]-Table3[[#This Row],[Unit_Cost]])</f>
        <v>141.57</v>
      </c>
      <c r="O686" s="7"/>
      <c r="P686" s="7"/>
      <c r="Q686" s="7"/>
      <c r="S686"/>
    </row>
    <row r="687" spans="1:19" x14ac:dyDescent="0.3">
      <c r="A687" s="1">
        <v>1031</v>
      </c>
      <c r="B687" s="2">
        <v>45102</v>
      </c>
      <c r="C687" s="1" t="s">
        <v>33</v>
      </c>
      <c r="D687" s="1" t="s">
        <v>50</v>
      </c>
      <c r="E687" s="1">
        <v>1781.82</v>
      </c>
      <c r="F687" s="1">
        <v>10</v>
      </c>
      <c r="G687" s="1" t="s">
        <v>31</v>
      </c>
      <c r="H687" s="1">
        <v>566.86</v>
      </c>
      <c r="I687" s="1">
        <v>818.14</v>
      </c>
      <c r="J687" s="1" t="s">
        <v>17</v>
      </c>
      <c r="K687" s="1">
        <v>0.25</v>
      </c>
      <c r="L687" s="1" t="s">
        <v>28</v>
      </c>
      <c r="M687" s="1" t="s">
        <v>21</v>
      </c>
      <c r="N687" s="1">
        <f>SUM(Table3[[#This Row],[Unit_Price]]-Table3[[#This Row],[Unit_Cost]])</f>
        <v>251.27999999999997</v>
      </c>
      <c r="O687" s="7"/>
      <c r="P687" s="7"/>
      <c r="Q687" s="7"/>
      <c r="S687"/>
    </row>
    <row r="688" spans="1:19" x14ac:dyDescent="0.3">
      <c r="A688" s="1">
        <v>1019</v>
      </c>
      <c r="B688" s="2">
        <v>45210</v>
      </c>
      <c r="C688" s="1" t="s">
        <v>32</v>
      </c>
      <c r="D688" s="1" t="s">
        <v>44</v>
      </c>
      <c r="E688" s="1">
        <v>2030.25</v>
      </c>
      <c r="F688" s="1">
        <v>32</v>
      </c>
      <c r="G688" s="1" t="s">
        <v>31</v>
      </c>
      <c r="H688" s="1">
        <v>2866.47</v>
      </c>
      <c r="I688" s="1">
        <v>3286.47</v>
      </c>
      <c r="J688" s="1" t="s">
        <v>27</v>
      </c>
      <c r="K688" s="1">
        <v>0.09</v>
      </c>
      <c r="L688" s="1" t="s">
        <v>28</v>
      </c>
      <c r="M688" s="1" t="s">
        <v>19</v>
      </c>
      <c r="N688" s="1">
        <f>SUM(Table3[[#This Row],[Unit_Price]]-Table3[[#This Row],[Unit_Cost]])</f>
        <v>420</v>
      </c>
      <c r="O688" s="7"/>
      <c r="P688" s="7"/>
      <c r="Q688" s="7"/>
      <c r="S688"/>
    </row>
    <row r="689" spans="1:19" x14ac:dyDescent="0.3">
      <c r="A689" s="1">
        <v>1061</v>
      </c>
      <c r="B689" s="2">
        <v>45007</v>
      </c>
      <c r="C689" s="1" t="s">
        <v>33</v>
      </c>
      <c r="D689" s="1" t="s">
        <v>45</v>
      </c>
      <c r="E689" s="1">
        <v>8915.0499999999993</v>
      </c>
      <c r="F689" s="1">
        <v>34</v>
      </c>
      <c r="G689" s="1" t="s">
        <v>26</v>
      </c>
      <c r="H689" s="1">
        <v>2680.82</v>
      </c>
      <c r="I689" s="1">
        <v>2771.02</v>
      </c>
      <c r="J689" s="1" t="s">
        <v>27</v>
      </c>
      <c r="K689" s="1">
        <v>0.2</v>
      </c>
      <c r="L689" s="1" t="s">
        <v>25</v>
      </c>
      <c r="M689" s="1" t="s">
        <v>19</v>
      </c>
      <c r="N689" s="1">
        <f>SUM(Table3[[#This Row],[Unit_Price]]-Table3[[#This Row],[Unit_Cost]])</f>
        <v>90.199999999999818</v>
      </c>
      <c r="O689" s="7"/>
      <c r="P689" s="7"/>
      <c r="Q689" s="7"/>
      <c r="S689"/>
    </row>
    <row r="690" spans="1:19" x14ac:dyDescent="0.3">
      <c r="A690" s="1">
        <v>1054</v>
      </c>
      <c r="B690" s="2">
        <v>45040</v>
      </c>
      <c r="C690" s="1" t="s">
        <v>22</v>
      </c>
      <c r="D690" s="1" t="s">
        <v>46</v>
      </c>
      <c r="E690" s="1">
        <v>7524.78</v>
      </c>
      <c r="F690" s="1">
        <v>48</v>
      </c>
      <c r="G690" s="1" t="s">
        <v>24</v>
      </c>
      <c r="H690" s="1">
        <v>2316.92</v>
      </c>
      <c r="I690" s="1">
        <v>2462.63</v>
      </c>
      <c r="J690" s="1" t="s">
        <v>27</v>
      </c>
      <c r="K690" s="1">
        <v>0.04</v>
      </c>
      <c r="L690" s="1" t="s">
        <v>28</v>
      </c>
      <c r="M690" s="1" t="s">
        <v>19</v>
      </c>
      <c r="N690" s="1">
        <f>SUM(Table3[[#This Row],[Unit_Price]]-Table3[[#This Row],[Unit_Cost]])</f>
        <v>145.71000000000004</v>
      </c>
      <c r="O690" s="7"/>
      <c r="P690" s="7"/>
      <c r="Q690" s="7"/>
      <c r="S690"/>
    </row>
    <row r="691" spans="1:19" x14ac:dyDescent="0.3">
      <c r="A691" s="1">
        <v>1039</v>
      </c>
      <c r="B691" s="2">
        <v>44966</v>
      </c>
      <c r="C691" s="1" t="s">
        <v>22</v>
      </c>
      <c r="D691" s="1" t="s">
        <v>47</v>
      </c>
      <c r="E691" s="1">
        <v>9091.4599999999991</v>
      </c>
      <c r="F691" s="1">
        <v>20</v>
      </c>
      <c r="G691" s="1" t="s">
        <v>24</v>
      </c>
      <c r="H691" s="1">
        <v>2014.11</v>
      </c>
      <c r="I691" s="1">
        <v>2056.35</v>
      </c>
      <c r="J691" s="1" t="s">
        <v>17</v>
      </c>
      <c r="K691" s="1">
        <v>0.21</v>
      </c>
      <c r="L691" s="1" t="s">
        <v>25</v>
      </c>
      <c r="M691" s="1" t="s">
        <v>21</v>
      </c>
      <c r="N691" s="1">
        <f>SUM(Table3[[#This Row],[Unit_Price]]-Table3[[#This Row],[Unit_Cost]])</f>
        <v>42.240000000000009</v>
      </c>
      <c r="O691" s="7"/>
      <c r="P691" s="7"/>
      <c r="Q691" s="7"/>
      <c r="S691"/>
    </row>
    <row r="692" spans="1:19" x14ac:dyDescent="0.3">
      <c r="A692" s="1">
        <v>1091</v>
      </c>
      <c r="B692" s="2">
        <v>45227</v>
      </c>
      <c r="C692" s="1" t="s">
        <v>14</v>
      </c>
      <c r="D692" s="1" t="s">
        <v>48</v>
      </c>
      <c r="E692" s="1">
        <v>7611.28</v>
      </c>
      <c r="F692" s="1">
        <v>39</v>
      </c>
      <c r="G692" s="1" t="s">
        <v>16</v>
      </c>
      <c r="H692" s="1">
        <v>2184.4899999999998</v>
      </c>
      <c r="I692" s="1">
        <v>2540.4199999999901</v>
      </c>
      <c r="J692" s="1" t="s">
        <v>17</v>
      </c>
      <c r="K692" s="1">
        <v>0.27</v>
      </c>
      <c r="L692" s="1" t="s">
        <v>25</v>
      </c>
      <c r="M692" s="1" t="s">
        <v>19</v>
      </c>
      <c r="N692" s="1">
        <f>SUM(Table3[[#This Row],[Unit_Price]]-Table3[[#This Row],[Unit_Cost]])</f>
        <v>355.92999999999029</v>
      </c>
      <c r="O692" s="7"/>
      <c r="P692" s="7"/>
      <c r="Q692" s="7"/>
      <c r="S692"/>
    </row>
    <row r="693" spans="1:19" x14ac:dyDescent="0.3">
      <c r="A693" s="1">
        <v>1074</v>
      </c>
      <c r="B693" s="2">
        <v>45150</v>
      </c>
      <c r="C693" s="1" t="s">
        <v>14</v>
      </c>
      <c r="D693" s="1" t="s">
        <v>49</v>
      </c>
      <c r="E693" s="1">
        <v>6011.84</v>
      </c>
      <c r="F693" s="1">
        <v>2</v>
      </c>
      <c r="G693" s="1" t="s">
        <v>24</v>
      </c>
      <c r="H693" s="1">
        <v>2868.02</v>
      </c>
      <c r="I693" s="1">
        <v>2994.74</v>
      </c>
      <c r="J693" s="1" t="s">
        <v>17</v>
      </c>
      <c r="K693" s="1">
        <v>0.18</v>
      </c>
      <c r="L693" s="1" t="s">
        <v>25</v>
      </c>
      <c r="M693" s="1" t="s">
        <v>19</v>
      </c>
      <c r="N693" s="1">
        <f>SUM(Table3[[#This Row],[Unit_Price]]-Table3[[#This Row],[Unit_Cost]])</f>
        <v>126.7199999999998</v>
      </c>
      <c r="O693" s="7"/>
      <c r="P693" s="7"/>
      <c r="Q693" s="7"/>
      <c r="S693"/>
    </row>
    <row r="694" spans="1:19" x14ac:dyDescent="0.3">
      <c r="A694" s="1">
        <v>1090</v>
      </c>
      <c r="B694" s="2">
        <v>45244</v>
      </c>
      <c r="C694" s="1" t="s">
        <v>14</v>
      </c>
      <c r="D694" s="1" t="s">
        <v>50</v>
      </c>
      <c r="E694" s="1">
        <v>6575.91</v>
      </c>
      <c r="F694" s="1">
        <v>1</v>
      </c>
      <c r="G694" s="1" t="s">
        <v>26</v>
      </c>
      <c r="H694" s="1">
        <v>60.28</v>
      </c>
      <c r="I694" s="1">
        <v>260.73</v>
      </c>
      <c r="J694" s="1" t="s">
        <v>17</v>
      </c>
      <c r="K694" s="1">
        <v>0.17</v>
      </c>
      <c r="L694" s="1" t="s">
        <v>18</v>
      </c>
      <c r="M694" s="1" t="s">
        <v>19</v>
      </c>
      <c r="N694" s="1">
        <f>SUM(Table3[[#This Row],[Unit_Price]]-Table3[[#This Row],[Unit_Cost]])</f>
        <v>200.45000000000002</v>
      </c>
      <c r="O694" s="7"/>
      <c r="P694" s="7"/>
      <c r="Q694" s="7"/>
      <c r="S694"/>
    </row>
    <row r="695" spans="1:19" x14ac:dyDescent="0.3">
      <c r="A695" s="1">
        <v>1019</v>
      </c>
      <c r="B695" s="2">
        <v>45275</v>
      </c>
      <c r="C695" s="1" t="s">
        <v>22</v>
      </c>
      <c r="D695" s="1" t="s">
        <v>44</v>
      </c>
      <c r="E695" s="1">
        <v>8902.3700000000008</v>
      </c>
      <c r="F695" s="1">
        <v>36</v>
      </c>
      <c r="G695" s="1" t="s">
        <v>26</v>
      </c>
      <c r="H695" s="1">
        <v>1340.51</v>
      </c>
      <c r="I695" s="1">
        <v>1567.92</v>
      </c>
      <c r="J695" s="1" t="s">
        <v>27</v>
      </c>
      <c r="K695" s="1">
        <v>0.28999999999999998</v>
      </c>
      <c r="L695" s="1" t="s">
        <v>18</v>
      </c>
      <c r="M695" s="1" t="s">
        <v>19</v>
      </c>
      <c r="N695" s="1">
        <f>SUM(Table3[[#This Row],[Unit_Price]]-Table3[[#This Row],[Unit_Cost]])</f>
        <v>227.41000000000008</v>
      </c>
      <c r="O695" s="7"/>
      <c r="P695" s="7"/>
      <c r="Q695" s="7"/>
      <c r="S695"/>
    </row>
    <row r="696" spans="1:19" x14ac:dyDescent="0.3">
      <c r="A696" s="1">
        <v>1039</v>
      </c>
      <c r="B696" s="2">
        <v>45041</v>
      </c>
      <c r="C696" s="1" t="s">
        <v>33</v>
      </c>
      <c r="D696" s="1" t="s">
        <v>45</v>
      </c>
      <c r="E696" s="1">
        <v>5830.19</v>
      </c>
      <c r="F696" s="1">
        <v>24</v>
      </c>
      <c r="G696" s="1" t="s">
        <v>26</v>
      </c>
      <c r="H696" s="1">
        <v>2615.48</v>
      </c>
      <c r="I696" s="1">
        <v>3062.22</v>
      </c>
      <c r="J696" s="1" t="s">
        <v>27</v>
      </c>
      <c r="K696" s="1">
        <v>0.19</v>
      </c>
      <c r="L696" s="1" t="s">
        <v>25</v>
      </c>
      <c r="M696" s="1" t="s">
        <v>21</v>
      </c>
      <c r="N696" s="1">
        <f>SUM(Table3[[#This Row],[Unit_Price]]-Table3[[#This Row],[Unit_Cost]])</f>
        <v>446.73999999999978</v>
      </c>
      <c r="O696" s="7"/>
      <c r="P696" s="7"/>
      <c r="Q696" s="7"/>
      <c r="S696"/>
    </row>
    <row r="697" spans="1:19" x14ac:dyDescent="0.3">
      <c r="A697" s="1">
        <v>1067</v>
      </c>
      <c r="B697" s="2">
        <v>45112</v>
      </c>
      <c r="C697" s="1" t="s">
        <v>33</v>
      </c>
      <c r="D697" s="1" t="s">
        <v>46</v>
      </c>
      <c r="E697" s="1">
        <v>6360.67</v>
      </c>
      <c r="F697" s="1">
        <v>27</v>
      </c>
      <c r="G697" s="1" t="s">
        <v>16</v>
      </c>
      <c r="H697" s="1">
        <v>3624.97</v>
      </c>
      <c r="I697" s="1">
        <v>3836.52</v>
      </c>
      <c r="J697" s="1" t="s">
        <v>27</v>
      </c>
      <c r="K697" s="1">
        <v>0.08</v>
      </c>
      <c r="L697" s="1" t="s">
        <v>18</v>
      </c>
      <c r="M697" s="1" t="s">
        <v>19</v>
      </c>
      <c r="N697" s="1">
        <f>SUM(Table3[[#This Row],[Unit_Price]]-Table3[[#This Row],[Unit_Cost]])</f>
        <v>211.55000000000018</v>
      </c>
      <c r="O697" s="7"/>
      <c r="P697" s="7"/>
      <c r="Q697" s="7"/>
      <c r="S697"/>
    </row>
    <row r="698" spans="1:19" x14ac:dyDescent="0.3">
      <c r="A698" s="1">
        <v>1045</v>
      </c>
      <c r="B698" s="2">
        <v>45249</v>
      </c>
      <c r="C698" s="1" t="s">
        <v>14</v>
      </c>
      <c r="D698" s="1" t="s">
        <v>47</v>
      </c>
      <c r="E698" s="1">
        <v>1649.12</v>
      </c>
      <c r="F698" s="1">
        <v>2</v>
      </c>
      <c r="G698" s="1" t="s">
        <v>31</v>
      </c>
      <c r="H698" s="1">
        <v>912.08</v>
      </c>
      <c r="I698" s="1">
        <v>993.24</v>
      </c>
      <c r="J698" s="1" t="s">
        <v>17</v>
      </c>
      <c r="K698" s="1">
        <v>0.09</v>
      </c>
      <c r="L698" s="1" t="s">
        <v>28</v>
      </c>
      <c r="M698" s="1" t="s">
        <v>19</v>
      </c>
      <c r="N698" s="1">
        <f>SUM(Table3[[#This Row],[Unit_Price]]-Table3[[#This Row],[Unit_Cost]])</f>
        <v>81.159999999999968</v>
      </c>
      <c r="O698" s="7"/>
      <c r="P698" s="7"/>
      <c r="Q698" s="7"/>
      <c r="S698"/>
    </row>
    <row r="699" spans="1:19" x14ac:dyDescent="0.3">
      <c r="A699" s="1">
        <v>1013</v>
      </c>
      <c r="B699" s="2">
        <v>44982</v>
      </c>
      <c r="C699" s="1" t="s">
        <v>32</v>
      </c>
      <c r="D699" s="1" t="s">
        <v>48</v>
      </c>
      <c r="E699" s="1">
        <v>4791.82</v>
      </c>
      <c r="F699" s="1">
        <v>31</v>
      </c>
      <c r="G699" s="1" t="s">
        <v>24</v>
      </c>
      <c r="H699" s="1">
        <v>2757.06</v>
      </c>
      <c r="I699" s="1">
        <v>3023.97</v>
      </c>
      <c r="J699" s="1" t="s">
        <v>17</v>
      </c>
      <c r="K699" s="1">
        <v>0.21</v>
      </c>
      <c r="L699" s="1" t="s">
        <v>18</v>
      </c>
      <c r="M699" s="1" t="s">
        <v>19</v>
      </c>
      <c r="N699" s="1">
        <f>SUM(Table3[[#This Row],[Unit_Price]]-Table3[[#This Row],[Unit_Cost]])</f>
        <v>266.90999999999985</v>
      </c>
      <c r="O699" s="7"/>
      <c r="P699" s="7"/>
      <c r="Q699" s="7"/>
      <c r="S699"/>
    </row>
    <row r="700" spans="1:19" x14ac:dyDescent="0.3">
      <c r="A700" s="1">
        <v>1092</v>
      </c>
      <c r="B700" s="2">
        <v>44966</v>
      </c>
      <c r="C700" s="1" t="s">
        <v>33</v>
      </c>
      <c r="D700" s="1" t="s">
        <v>49</v>
      </c>
      <c r="E700" s="1">
        <v>7192.33</v>
      </c>
      <c r="F700" s="1">
        <v>14</v>
      </c>
      <c r="G700" s="1" t="s">
        <v>26</v>
      </c>
      <c r="H700" s="1">
        <v>3586.58</v>
      </c>
      <c r="I700" s="1">
        <v>4068.43</v>
      </c>
      <c r="J700" s="1" t="s">
        <v>27</v>
      </c>
      <c r="K700" s="1">
        <v>0.22</v>
      </c>
      <c r="L700" s="1" t="s">
        <v>28</v>
      </c>
      <c r="M700" s="1" t="s">
        <v>19</v>
      </c>
      <c r="N700" s="1">
        <f>SUM(Table3[[#This Row],[Unit_Price]]-Table3[[#This Row],[Unit_Cost]])</f>
        <v>481.84999999999991</v>
      </c>
      <c r="O700" s="7"/>
      <c r="P700" s="7"/>
      <c r="Q700" s="7"/>
      <c r="S700"/>
    </row>
    <row r="701" spans="1:19" x14ac:dyDescent="0.3">
      <c r="A701" s="1">
        <v>1058</v>
      </c>
      <c r="B701" s="2">
        <v>45280</v>
      </c>
      <c r="C701" s="1" t="s">
        <v>22</v>
      </c>
      <c r="D701" s="1" t="s">
        <v>50</v>
      </c>
      <c r="E701" s="1">
        <v>2782.33</v>
      </c>
      <c r="F701" s="1">
        <v>2</v>
      </c>
      <c r="G701" s="1" t="s">
        <v>26</v>
      </c>
      <c r="H701" s="1">
        <v>2250.91</v>
      </c>
      <c r="I701" s="1">
        <v>2558.6799999999998</v>
      </c>
      <c r="J701" s="1" t="s">
        <v>27</v>
      </c>
      <c r="K701" s="1">
        <v>0.09</v>
      </c>
      <c r="L701" s="1" t="s">
        <v>28</v>
      </c>
      <c r="M701" s="1" t="s">
        <v>21</v>
      </c>
      <c r="N701" s="1">
        <f>SUM(Table3[[#This Row],[Unit_Price]]-Table3[[#This Row],[Unit_Cost]])</f>
        <v>307.77</v>
      </c>
      <c r="O701" s="7"/>
      <c r="P701" s="7"/>
      <c r="Q701" s="7"/>
      <c r="S701"/>
    </row>
    <row r="702" spans="1:19" x14ac:dyDescent="0.3">
      <c r="A702" s="1">
        <v>1020</v>
      </c>
      <c r="B702" s="2">
        <v>44966</v>
      </c>
      <c r="C702" s="1" t="s">
        <v>29</v>
      </c>
      <c r="D702" s="1" t="s">
        <v>44</v>
      </c>
      <c r="E702" s="1">
        <v>2102.3200000000002</v>
      </c>
      <c r="F702" s="1">
        <v>29</v>
      </c>
      <c r="G702" s="1" t="s">
        <v>31</v>
      </c>
      <c r="H702" s="1">
        <v>184.05</v>
      </c>
      <c r="I702" s="1">
        <v>675.91</v>
      </c>
      <c r="J702" s="1" t="s">
        <v>17</v>
      </c>
      <c r="K702" s="1">
        <v>0.1</v>
      </c>
      <c r="L702" s="1" t="s">
        <v>18</v>
      </c>
      <c r="M702" s="1" t="s">
        <v>21</v>
      </c>
      <c r="N702" s="1">
        <f>SUM(Table3[[#This Row],[Unit_Price]]-Table3[[#This Row],[Unit_Cost]])</f>
        <v>491.85999999999996</v>
      </c>
      <c r="O702" s="7"/>
      <c r="P702" s="7"/>
      <c r="Q702" s="7"/>
      <c r="S702"/>
    </row>
    <row r="703" spans="1:19" x14ac:dyDescent="0.3">
      <c r="A703" s="1">
        <v>1092</v>
      </c>
      <c r="B703" s="2">
        <v>45273</v>
      </c>
      <c r="C703" s="1" t="s">
        <v>29</v>
      </c>
      <c r="D703" s="1" t="s">
        <v>45</v>
      </c>
      <c r="E703" s="1">
        <v>3206.89</v>
      </c>
      <c r="F703" s="1">
        <v>15</v>
      </c>
      <c r="G703" s="1" t="s">
        <v>26</v>
      </c>
      <c r="H703" s="1">
        <v>2273.88</v>
      </c>
      <c r="I703" s="1">
        <v>2696.02</v>
      </c>
      <c r="J703" s="1" t="s">
        <v>27</v>
      </c>
      <c r="K703" s="1">
        <v>0.3</v>
      </c>
      <c r="L703" s="1" t="s">
        <v>18</v>
      </c>
      <c r="M703" s="1" t="s">
        <v>19</v>
      </c>
      <c r="N703" s="1">
        <f>SUM(Table3[[#This Row],[Unit_Price]]-Table3[[#This Row],[Unit_Cost]])</f>
        <v>422.13999999999987</v>
      </c>
      <c r="O703" s="7"/>
      <c r="P703" s="7"/>
      <c r="Q703" s="7"/>
      <c r="S703"/>
    </row>
    <row r="704" spans="1:19" x14ac:dyDescent="0.3">
      <c r="A704" s="1">
        <v>1072</v>
      </c>
      <c r="B704" s="2">
        <v>45163</v>
      </c>
      <c r="C704" s="1" t="s">
        <v>29</v>
      </c>
      <c r="D704" s="1" t="s">
        <v>46</v>
      </c>
      <c r="E704" s="1">
        <v>2490.86</v>
      </c>
      <c r="F704" s="1">
        <v>12</v>
      </c>
      <c r="G704" s="1" t="s">
        <v>24</v>
      </c>
      <c r="H704" s="1">
        <v>1517.4</v>
      </c>
      <c r="I704" s="1">
        <v>1545.02</v>
      </c>
      <c r="J704" s="1" t="s">
        <v>27</v>
      </c>
      <c r="K704" s="1">
        <v>0.03</v>
      </c>
      <c r="L704" s="1" t="s">
        <v>25</v>
      </c>
      <c r="M704" s="1" t="s">
        <v>21</v>
      </c>
      <c r="N704" s="1">
        <f>SUM(Table3[[#This Row],[Unit_Price]]-Table3[[#This Row],[Unit_Cost]])</f>
        <v>27.619999999999891</v>
      </c>
      <c r="O704" s="7"/>
      <c r="P704" s="7"/>
      <c r="Q704" s="7"/>
      <c r="S704"/>
    </row>
    <row r="705" spans="1:19" x14ac:dyDescent="0.3">
      <c r="A705" s="1">
        <v>1061</v>
      </c>
      <c r="B705" s="2">
        <v>45215</v>
      </c>
      <c r="C705" s="1" t="s">
        <v>32</v>
      </c>
      <c r="D705" s="1" t="s">
        <v>47</v>
      </c>
      <c r="E705" s="1">
        <v>2227.64</v>
      </c>
      <c r="F705" s="1">
        <v>37</v>
      </c>
      <c r="G705" s="1" t="s">
        <v>16</v>
      </c>
      <c r="H705" s="1">
        <v>4651.7700000000004</v>
      </c>
      <c r="I705" s="1">
        <v>4984.3900000000003</v>
      </c>
      <c r="J705" s="1" t="s">
        <v>17</v>
      </c>
      <c r="K705" s="1">
        <v>0.12</v>
      </c>
      <c r="L705" s="1" t="s">
        <v>18</v>
      </c>
      <c r="M705" s="1" t="s">
        <v>21</v>
      </c>
      <c r="N705" s="1">
        <f>SUM(Table3[[#This Row],[Unit_Price]]-Table3[[#This Row],[Unit_Cost]])</f>
        <v>332.61999999999989</v>
      </c>
      <c r="O705" s="7"/>
      <c r="P705" s="7"/>
      <c r="Q705" s="7"/>
      <c r="S705"/>
    </row>
    <row r="706" spans="1:19" x14ac:dyDescent="0.3">
      <c r="A706" s="1">
        <v>1039</v>
      </c>
      <c r="B706" s="2">
        <v>45188</v>
      </c>
      <c r="C706" s="1" t="s">
        <v>14</v>
      </c>
      <c r="D706" s="1" t="s">
        <v>48</v>
      </c>
      <c r="E706" s="1">
        <v>4306.0200000000004</v>
      </c>
      <c r="F706" s="1">
        <v>28</v>
      </c>
      <c r="G706" s="1" t="s">
        <v>26</v>
      </c>
      <c r="H706" s="1">
        <v>666.84</v>
      </c>
      <c r="I706" s="1">
        <v>817.36</v>
      </c>
      <c r="J706" s="1" t="s">
        <v>17</v>
      </c>
      <c r="K706" s="1">
        <v>0.02</v>
      </c>
      <c r="L706" s="1" t="s">
        <v>18</v>
      </c>
      <c r="M706" s="1" t="s">
        <v>21</v>
      </c>
      <c r="N706" s="1">
        <f>SUM(Table3[[#This Row],[Unit_Price]]-Table3[[#This Row],[Unit_Cost]])</f>
        <v>150.51999999999998</v>
      </c>
      <c r="O706" s="7"/>
      <c r="P706" s="7"/>
      <c r="Q706" s="7"/>
      <c r="S706"/>
    </row>
    <row r="707" spans="1:19" x14ac:dyDescent="0.3">
      <c r="A707" s="1">
        <v>1001</v>
      </c>
      <c r="B707" s="2">
        <v>45142</v>
      </c>
      <c r="C707" s="1" t="s">
        <v>22</v>
      </c>
      <c r="D707" s="1" t="s">
        <v>49</v>
      </c>
      <c r="E707" s="1">
        <v>9087.6</v>
      </c>
      <c r="F707" s="1">
        <v>20</v>
      </c>
      <c r="G707" s="1" t="s">
        <v>24</v>
      </c>
      <c r="H707" s="1">
        <v>3279.76</v>
      </c>
      <c r="I707" s="1">
        <v>3563.97</v>
      </c>
      <c r="J707" s="1" t="s">
        <v>17</v>
      </c>
      <c r="K707" s="1">
        <v>0.25</v>
      </c>
      <c r="L707" s="1" t="s">
        <v>18</v>
      </c>
      <c r="M707" s="1" t="s">
        <v>21</v>
      </c>
      <c r="N707" s="1">
        <f>SUM(Table3[[#This Row],[Unit_Price]]-Table3[[#This Row],[Unit_Cost]])</f>
        <v>284.20999999999958</v>
      </c>
      <c r="O707" s="7"/>
      <c r="P707" s="7"/>
      <c r="Q707" s="7"/>
      <c r="S707"/>
    </row>
    <row r="708" spans="1:19" x14ac:dyDescent="0.3">
      <c r="A708" s="1">
        <v>1003</v>
      </c>
      <c r="B708" s="2">
        <v>45073</v>
      </c>
      <c r="C708" s="1" t="s">
        <v>32</v>
      </c>
      <c r="D708" s="1" t="s">
        <v>50</v>
      </c>
      <c r="E708" s="1">
        <v>5119.8900000000003</v>
      </c>
      <c r="F708" s="1">
        <v>39</v>
      </c>
      <c r="G708" s="1" t="s">
        <v>26</v>
      </c>
      <c r="H708" s="1">
        <v>310.95999999999998</v>
      </c>
      <c r="I708" s="1">
        <v>457.84</v>
      </c>
      <c r="J708" s="1" t="s">
        <v>27</v>
      </c>
      <c r="K708" s="1">
        <v>0.03</v>
      </c>
      <c r="L708" s="1" t="s">
        <v>28</v>
      </c>
      <c r="M708" s="1" t="s">
        <v>19</v>
      </c>
      <c r="N708" s="1">
        <f>SUM(Table3[[#This Row],[Unit_Price]]-Table3[[#This Row],[Unit_Cost]])</f>
        <v>146.88</v>
      </c>
      <c r="O708" s="7"/>
      <c r="P708" s="7"/>
      <c r="Q708" s="7"/>
      <c r="S708"/>
    </row>
    <row r="709" spans="1:19" x14ac:dyDescent="0.3">
      <c r="A709" s="1">
        <v>1077</v>
      </c>
      <c r="B709" s="2">
        <v>45262</v>
      </c>
      <c r="C709" s="1" t="s">
        <v>22</v>
      </c>
      <c r="D709" s="1" t="s">
        <v>44</v>
      </c>
      <c r="E709" s="1">
        <v>1960.41</v>
      </c>
      <c r="F709" s="1">
        <v>24</v>
      </c>
      <c r="G709" s="1" t="s">
        <v>31</v>
      </c>
      <c r="H709" s="1">
        <v>2258.54</v>
      </c>
      <c r="I709" s="1">
        <v>2439.4899999999998</v>
      </c>
      <c r="J709" s="1" t="s">
        <v>17</v>
      </c>
      <c r="K709" s="1">
        <v>0.2</v>
      </c>
      <c r="L709" s="1" t="s">
        <v>28</v>
      </c>
      <c r="M709" s="1" t="s">
        <v>21</v>
      </c>
      <c r="N709" s="1">
        <f>SUM(Table3[[#This Row],[Unit_Price]]-Table3[[#This Row],[Unit_Cost]])</f>
        <v>180.94999999999982</v>
      </c>
      <c r="O709" s="7"/>
      <c r="P709" s="7"/>
      <c r="Q709" s="7"/>
      <c r="S709"/>
    </row>
    <row r="710" spans="1:19" x14ac:dyDescent="0.3">
      <c r="A710" s="1">
        <v>1092</v>
      </c>
      <c r="B710" s="2">
        <v>45094</v>
      </c>
      <c r="C710" s="1" t="s">
        <v>22</v>
      </c>
      <c r="D710" s="1" t="s">
        <v>45</v>
      </c>
      <c r="E710" s="1">
        <v>862.02</v>
      </c>
      <c r="F710" s="1">
        <v>21</v>
      </c>
      <c r="G710" s="1" t="s">
        <v>26</v>
      </c>
      <c r="H710" s="1">
        <v>2792.2</v>
      </c>
      <c r="I710" s="1">
        <v>3254.5499999999902</v>
      </c>
      <c r="J710" s="1" t="s">
        <v>27</v>
      </c>
      <c r="K710" s="1">
        <v>0.02</v>
      </c>
      <c r="L710" s="1" t="s">
        <v>28</v>
      </c>
      <c r="M710" s="1" t="s">
        <v>21</v>
      </c>
      <c r="N710" s="1">
        <f>SUM(Table3[[#This Row],[Unit_Price]]-Table3[[#This Row],[Unit_Cost]])</f>
        <v>462.34999999999036</v>
      </c>
      <c r="O710" s="7"/>
      <c r="P710" s="7"/>
      <c r="Q710" s="7"/>
      <c r="S710"/>
    </row>
    <row r="711" spans="1:19" x14ac:dyDescent="0.3">
      <c r="A711" s="1">
        <v>1062</v>
      </c>
      <c r="B711" s="2">
        <v>45018</v>
      </c>
      <c r="C711" s="1" t="s">
        <v>14</v>
      </c>
      <c r="D711" s="1" t="s">
        <v>46</v>
      </c>
      <c r="E711" s="1">
        <v>6991.95</v>
      </c>
      <c r="F711" s="1">
        <v>10</v>
      </c>
      <c r="G711" s="1" t="s">
        <v>26</v>
      </c>
      <c r="H711" s="1">
        <v>1524.88</v>
      </c>
      <c r="I711" s="1">
        <v>1636.14</v>
      </c>
      <c r="J711" s="1" t="s">
        <v>27</v>
      </c>
      <c r="K711" s="1">
        <v>0.2</v>
      </c>
      <c r="L711" s="1" t="s">
        <v>25</v>
      </c>
      <c r="M711" s="1" t="s">
        <v>19</v>
      </c>
      <c r="N711" s="1">
        <f>SUM(Table3[[#This Row],[Unit_Price]]-Table3[[#This Row],[Unit_Cost]])</f>
        <v>111.25999999999999</v>
      </c>
      <c r="O711" s="7"/>
      <c r="P711" s="7"/>
      <c r="Q711" s="7"/>
      <c r="S711"/>
    </row>
    <row r="712" spans="1:19" x14ac:dyDescent="0.3">
      <c r="A712" s="1">
        <v>1063</v>
      </c>
      <c r="B712" s="2">
        <v>45279</v>
      </c>
      <c r="C712" s="1" t="s">
        <v>29</v>
      </c>
      <c r="D712" s="1" t="s">
        <v>47</v>
      </c>
      <c r="E712" s="1">
        <v>3889.71</v>
      </c>
      <c r="F712" s="1">
        <v>46</v>
      </c>
      <c r="G712" s="1" t="s">
        <v>16</v>
      </c>
      <c r="H712" s="1">
        <v>2302.62</v>
      </c>
      <c r="I712" s="1">
        <v>2740.93</v>
      </c>
      <c r="J712" s="1" t="s">
        <v>17</v>
      </c>
      <c r="K712" s="1">
        <v>0.25</v>
      </c>
      <c r="L712" s="1" t="s">
        <v>25</v>
      </c>
      <c r="M712" s="1" t="s">
        <v>19</v>
      </c>
      <c r="N712" s="1">
        <f>SUM(Table3[[#This Row],[Unit_Price]]-Table3[[#This Row],[Unit_Cost]])</f>
        <v>438.30999999999995</v>
      </c>
      <c r="O712" s="7"/>
      <c r="P712" s="7"/>
      <c r="Q712" s="7"/>
      <c r="S712"/>
    </row>
    <row r="713" spans="1:19" x14ac:dyDescent="0.3">
      <c r="A713" s="1">
        <v>1025</v>
      </c>
      <c r="B713" s="2">
        <v>44985</v>
      </c>
      <c r="C713" s="1" t="s">
        <v>14</v>
      </c>
      <c r="D713" s="1" t="s">
        <v>48</v>
      </c>
      <c r="E713" s="1">
        <v>8236.1299999999992</v>
      </c>
      <c r="F713" s="1">
        <v>14</v>
      </c>
      <c r="G713" s="1" t="s">
        <v>31</v>
      </c>
      <c r="H713" s="1">
        <v>859.59</v>
      </c>
      <c r="I713" s="1">
        <v>884.51</v>
      </c>
      <c r="J713" s="1" t="s">
        <v>27</v>
      </c>
      <c r="K713" s="1">
        <v>0.12</v>
      </c>
      <c r="L713" s="1" t="s">
        <v>25</v>
      </c>
      <c r="M713" s="1" t="s">
        <v>19</v>
      </c>
      <c r="N713" s="1">
        <f>SUM(Table3[[#This Row],[Unit_Price]]-Table3[[#This Row],[Unit_Cost]])</f>
        <v>24.919999999999959</v>
      </c>
      <c r="O713" s="7"/>
      <c r="P713" s="7"/>
      <c r="Q713" s="7"/>
      <c r="S713"/>
    </row>
    <row r="714" spans="1:19" x14ac:dyDescent="0.3">
      <c r="A714" s="1">
        <v>1056</v>
      </c>
      <c r="B714" s="2">
        <v>44985</v>
      </c>
      <c r="C714" s="1" t="s">
        <v>32</v>
      </c>
      <c r="D714" s="1" t="s">
        <v>49</v>
      </c>
      <c r="E714" s="1">
        <v>6629.16</v>
      </c>
      <c r="F714" s="1">
        <v>37</v>
      </c>
      <c r="G714" s="1" t="s">
        <v>31</v>
      </c>
      <c r="H714" s="1">
        <v>1555.41</v>
      </c>
      <c r="I714" s="1">
        <v>1609.94</v>
      </c>
      <c r="J714" s="1" t="s">
        <v>17</v>
      </c>
      <c r="K714" s="1">
        <v>0.16</v>
      </c>
      <c r="L714" s="1" t="s">
        <v>28</v>
      </c>
      <c r="M714" s="1" t="s">
        <v>19</v>
      </c>
      <c r="N714" s="1">
        <f>SUM(Table3[[#This Row],[Unit_Price]]-Table3[[#This Row],[Unit_Cost]])</f>
        <v>54.529999999999973</v>
      </c>
      <c r="O714" s="7"/>
      <c r="P714" s="7"/>
      <c r="Q714" s="7"/>
      <c r="S714"/>
    </row>
    <row r="715" spans="1:19" x14ac:dyDescent="0.3">
      <c r="A715" s="1">
        <v>1033</v>
      </c>
      <c r="B715" s="2">
        <v>45230</v>
      </c>
      <c r="C715" s="1" t="s">
        <v>32</v>
      </c>
      <c r="D715" s="1" t="s">
        <v>50</v>
      </c>
      <c r="E715" s="1">
        <v>7982.79</v>
      </c>
      <c r="F715" s="1">
        <v>18</v>
      </c>
      <c r="G715" s="1" t="s">
        <v>16</v>
      </c>
      <c r="H715" s="1">
        <v>3124.48</v>
      </c>
      <c r="I715" s="1">
        <v>3553.27</v>
      </c>
      <c r="J715" s="1" t="s">
        <v>17</v>
      </c>
      <c r="K715" s="1">
        <v>0.12</v>
      </c>
      <c r="L715" s="1" t="s">
        <v>18</v>
      </c>
      <c r="M715" s="1" t="s">
        <v>21</v>
      </c>
      <c r="N715" s="1">
        <f>SUM(Table3[[#This Row],[Unit_Price]]-Table3[[#This Row],[Unit_Cost]])</f>
        <v>428.78999999999996</v>
      </c>
      <c r="O715" s="7"/>
      <c r="P715" s="7"/>
      <c r="Q715" s="7"/>
      <c r="S715"/>
    </row>
    <row r="716" spans="1:19" x14ac:dyDescent="0.3">
      <c r="A716" s="1">
        <v>1038</v>
      </c>
      <c r="B716" s="2">
        <v>45095</v>
      </c>
      <c r="C716" s="1" t="s">
        <v>32</v>
      </c>
      <c r="D716" s="1" t="s">
        <v>44</v>
      </c>
      <c r="E716" s="1">
        <v>2792.27</v>
      </c>
      <c r="F716" s="1">
        <v>24</v>
      </c>
      <c r="G716" s="1" t="s">
        <v>26</v>
      </c>
      <c r="H716" s="1">
        <v>1543.91</v>
      </c>
      <c r="I716" s="1">
        <v>1862.88</v>
      </c>
      <c r="J716" s="1" t="s">
        <v>27</v>
      </c>
      <c r="K716" s="1">
        <v>0.09</v>
      </c>
      <c r="L716" s="1" t="s">
        <v>25</v>
      </c>
      <c r="M716" s="1" t="s">
        <v>19</v>
      </c>
      <c r="N716" s="1">
        <f>SUM(Table3[[#This Row],[Unit_Price]]-Table3[[#This Row],[Unit_Cost]])</f>
        <v>318.97000000000003</v>
      </c>
      <c r="O716" s="7"/>
      <c r="P716" s="7"/>
      <c r="Q716" s="7"/>
      <c r="S716"/>
    </row>
    <row r="717" spans="1:19" x14ac:dyDescent="0.3">
      <c r="A717" s="1">
        <v>1006</v>
      </c>
      <c r="B717" s="2">
        <v>45195</v>
      </c>
      <c r="C717" s="1" t="s">
        <v>14</v>
      </c>
      <c r="D717" s="1" t="s">
        <v>45</v>
      </c>
      <c r="E717" s="1">
        <v>6954.35</v>
      </c>
      <c r="F717" s="1">
        <v>14</v>
      </c>
      <c r="G717" s="1" t="s">
        <v>24</v>
      </c>
      <c r="H717" s="1">
        <v>4503.7299999999996</v>
      </c>
      <c r="I717" s="1">
        <v>4879.8799999999901</v>
      </c>
      <c r="J717" s="1" t="s">
        <v>27</v>
      </c>
      <c r="K717" s="1">
        <v>0.24</v>
      </c>
      <c r="L717" s="1" t="s">
        <v>25</v>
      </c>
      <c r="M717" s="1" t="s">
        <v>21</v>
      </c>
      <c r="N717" s="1">
        <f>SUM(Table3[[#This Row],[Unit_Price]]-Table3[[#This Row],[Unit_Cost]])</f>
        <v>376.14999999999054</v>
      </c>
      <c r="O717" s="7"/>
      <c r="P717" s="7"/>
      <c r="Q717" s="7"/>
      <c r="S717"/>
    </row>
    <row r="718" spans="1:19" x14ac:dyDescent="0.3">
      <c r="A718" s="1">
        <v>1058</v>
      </c>
      <c r="B718" s="2">
        <v>45289</v>
      </c>
      <c r="C718" s="1" t="s">
        <v>22</v>
      </c>
      <c r="D718" s="1" t="s">
        <v>46</v>
      </c>
      <c r="E718" s="1">
        <v>2714.21</v>
      </c>
      <c r="F718" s="1">
        <v>34</v>
      </c>
      <c r="G718" s="1" t="s">
        <v>31</v>
      </c>
      <c r="H718" s="1">
        <v>3160.61</v>
      </c>
      <c r="I718" s="1">
        <v>3273.22</v>
      </c>
      <c r="J718" s="1" t="s">
        <v>17</v>
      </c>
      <c r="K718" s="1">
        <v>0.08</v>
      </c>
      <c r="L718" s="1" t="s">
        <v>28</v>
      </c>
      <c r="M718" s="1" t="s">
        <v>21</v>
      </c>
      <c r="N718" s="1">
        <f>SUM(Table3[[#This Row],[Unit_Price]]-Table3[[#This Row],[Unit_Cost]])</f>
        <v>112.60999999999967</v>
      </c>
      <c r="O718" s="7"/>
      <c r="P718" s="7"/>
      <c r="Q718" s="7"/>
      <c r="S718"/>
    </row>
    <row r="719" spans="1:19" x14ac:dyDescent="0.3">
      <c r="A719" s="1">
        <v>1044</v>
      </c>
      <c r="B719" s="2">
        <v>44971</v>
      </c>
      <c r="C719" s="1" t="s">
        <v>22</v>
      </c>
      <c r="D719" s="1" t="s">
        <v>47</v>
      </c>
      <c r="E719" s="1">
        <v>9396.7800000000007</v>
      </c>
      <c r="F719" s="1">
        <v>12</v>
      </c>
      <c r="G719" s="1" t="s">
        <v>31</v>
      </c>
      <c r="H719" s="1">
        <v>2221.31</v>
      </c>
      <c r="I719" s="1">
        <v>2494.48</v>
      </c>
      <c r="J719" s="1" t="s">
        <v>17</v>
      </c>
      <c r="K719" s="1">
        <v>0.22</v>
      </c>
      <c r="L719" s="1" t="s">
        <v>25</v>
      </c>
      <c r="M719" s="1" t="s">
        <v>19</v>
      </c>
      <c r="N719" s="1">
        <f>SUM(Table3[[#This Row],[Unit_Price]]-Table3[[#This Row],[Unit_Cost]])</f>
        <v>273.17000000000007</v>
      </c>
      <c r="O719" s="7"/>
      <c r="P719" s="7"/>
      <c r="Q719" s="7"/>
      <c r="S719"/>
    </row>
    <row r="720" spans="1:19" x14ac:dyDescent="0.3">
      <c r="A720" s="1">
        <v>1045</v>
      </c>
      <c r="B720" s="2">
        <v>45271</v>
      </c>
      <c r="C720" s="1" t="s">
        <v>33</v>
      </c>
      <c r="D720" s="1" t="s">
        <v>48</v>
      </c>
      <c r="E720" s="1">
        <v>6400.11</v>
      </c>
      <c r="F720" s="1">
        <v>22</v>
      </c>
      <c r="G720" s="1" t="s">
        <v>26</v>
      </c>
      <c r="H720" s="1">
        <v>241.85</v>
      </c>
      <c r="I720" s="1">
        <v>613.09</v>
      </c>
      <c r="J720" s="1" t="s">
        <v>17</v>
      </c>
      <c r="K720" s="1">
        <v>0.06</v>
      </c>
      <c r="L720" s="1" t="s">
        <v>18</v>
      </c>
      <c r="M720" s="1" t="s">
        <v>19</v>
      </c>
      <c r="N720" s="1">
        <f>SUM(Table3[[#This Row],[Unit_Price]]-Table3[[#This Row],[Unit_Cost]])</f>
        <v>371.24</v>
      </c>
      <c r="O720" s="7"/>
      <c r="P720" s="7"/>
      <c r="Q720" s="7"/>
      <c r="S720"/>
    </row>
    <row r="721" spans="1:19" x14ac:dyDescent="0.3">
      <c r="A721" s="1">
        <v>1032</v>
      </c>
      <c r="B721" s="2">
        <v>45107</v>
      </c>
      <c r="C721" s="1" t="s">
        <v>32</v>
      </c>
      <c r="D721" s="1" t="s">
        <v>49</v>
      </c>
      <c r="E721" s="1">
        <v>3312.67</v>
      </c>
      <c r="F721" s="1">
        <v>6</v>
      </c>
      <c r="G721" s="1" t="s">
        <v>26</v>
      </c>
      <c r="H721" s="1">
        <v>2522.7600000000002</v>
      </c>
      <c r="I721" s="1">
        <v>2840.14</v>
      </c>
      <c r="J721" s="1" t="s">
        <v>17</v>
      </c>
      <c r="K721" s="1">
        <v>7.0000000000000007E-2</v>
      </c>
      <c r="L721" s="1" t="s">
        <v>28</v>
      </c>
      <c r="M721" s="1" t="s">
        <v>21</v>
      </c>
      <c r="N721" s="1">
        <f>SUM(Table3[[#This Row],[Unit_Price]]-Table3[[#This Row],[Unit_Cost]])</f>
        <v>317.37999999999965</v>
      </c>
      <c r="O721" s="7"/>
      <c r="P721" s="7"/>
      <c r="Q721" s="7"/>
      <c r="S721"/>
    </row>
    <row r="722" spans="1:19" x14ac:dyDescent="0.3">
      <c r="A722" s="1">
        <v>1045</v>
      </c>
      <c r="B722" s="2">
        <v>45096</v>
      </c>
      <c r="C722" s="1" t="s">
        <v>22</v>
      </c>
      <c r="D722" s="1" t="s">
        <v>50</v>
      </c>
      <c r="E722" s="1">
        <v>2768.17</v>
      </c>
      <c r="F722" s="1">
        <v>36</v>
      </c>
      <c r="G722" s="1" t="s">
        <v>31</v>
      </c>
      <c r="H722" s="1">
        <v>3835.64</v>
      </c>
      <c r="I722" s="1">
        <v>4076.77</v>
      </c>
      <c r="J722" s="1" t="s">
        <v>17</v>
      </c>
      <c r="K722" s="1">
        <v>0.1</v>
      </c>
      <c r="L722" s="1" t="s">
        <v>28</v>
      </c>
      <c r="M722" s="1" t="s">
        <v>21</v>
      </c>
      <c r="N722" s="1">
        <f>SUM(Table3[[#This Row],[Unit_Price]]-Table3[[#This Row],[Unit_Cost]])</f>
        <v>241.13000000000011</v>
      </c>
      <c r="O722" s="7"/>
      <c r="P722" s="7"/>
      <c r="Q722" s="7"/>
      <c r="S722"/>
    </row>
    <row r="723" spans="1:19" x14ac:dyDescent="0.3">
      <c r="A723" s="1">
        <v>1061</v>
      </c>
      <c r="B723" s="2">
        <v>45282</v>
      </c>
      <c r="C723" s="1" t="s">
        <v>33</v>
      </c>
      <c r="D723" s="1" t="s">
        <v>44</v>
      </c>
      <c r="E723" s="1">
        <v>1990.17</v>
      </c>
      <c r="F723" s="1">
        <v>45</v>
      </c>
      <c r="G723" s="1" t="s">
        <v>26</v>
      </c>
      <c r="H723" s="1">
        <v>1364.51</v>
      </c>
      <c r="I723" s="1">
        <v>1844.8</v>
      </c>
      <c r="J723" s="1" t="s">
        <v>17</v>
      </c>
      <c r="K723" s="1">
        <v>0.18</v>
      </c>
      <c r="L723" s="1" t="s">
        <v>18</v>
      </c>
      <c r="M723" s="1" t="s">
        <v>19</v>
      </c>
      <c r="N723" s="1">
        <f>SUM(Table3[[#This Row],[Unit_Price]]-Table3[[#This Row],[Unit_Cost]])</f>
        <v>480.28999999999996</v>
      </c>
      <c r="O723" s="7"/>
      <c r="P723" s="7"/>
      <c r="Q723" s="7"/>
      <c r="S723"/>
    </row>
    <row r="724" spans="1:19" x14ac:dyDescent="0.3">
      <c r="A724" s="1">
        <v>1047</v>
      </c>
      <c r="B724" s="2">
        <v>45117</v>
      </c>
      <c r="C724" s="1" t="s">
        <v>22</v>
      </c>
      <c r="D724" s="1" t="s">
        <v>45</v>
      </c>
      <c r="E724" s="1">
        <v>6976.95</v>
      </c>
      <c r="F724" s="1">
        <v>36</v>
      </c>
      <c r="G724" s="1" t="s">
        <v>24</v>
      </c>
      <c r="H724" s="1">
        <v>4043.53</v>
      </c>
      <c r="I724" s="1">
        <v>4384.8500000000004</v>
      </c>
      <c r="J724" s="1" t="s">
        <v>27</v>
      </c>
      <c r="K724" s="1">
        <v>0.14000000000000001</v>
      </c>
      <c r="L724" s="1" t="s">
        <v>18</v>
      </c>
      <c r="M724" s="1" t="s">
        <v>19</v>
      </c>
      <c r="N724" s="1">
        <f>SUM(Table3[[#This Row],[Unit_Price]]-Table3[[#This Row],[Unit_Cost]])</f>
        <v>341.32000000000016</v>
      </c>
      <c r="O724" s="7"/>
      <c r="P724" s="7"/>
      <c r="Q724" s="7"/>
      <c r="S724"/>
    </row>
    <row r="725" spans="1:19" x14ac:dyDescent="0.3">
      <c r="A725" s="1">
        <v>1021</v>
      </c>
      <c r="B725" s="2">
        <v>45081</v>
      </c>
      <c r="C725" s="1" t="s">
        <v>32</v>
      </c>
      <c r="D725" s="1" t="s">
        <v>46</v>
      </c>
      <c r="E725" s="1">
        <v>2265.2800000000002</v>
      </c>
      <c r="F725" s="1">
        <v>22</v>
      </c>
      <c r="G725" s="1" t="s">
        <v>31</v>
      </c>
      <c r="H725" s="1">
        <v>1296.44</v>
      </c>
      <c r="I725" s="1">
        <v>1751.24</v>
      </c>
      <c r="J725" s="1" t="s">
        <v>27</v>
      </c>
      <c r="K725" s="1">
        <v>0.22</v>
      </c>
      <c r="L725" s="1" t="s">
        <v>18</v>
      </c>
      <c r="M725" s="1" t="s">
        <v>19</v>
      </c>
      <c r="N725" s="1">
        <f>SUM(Table3[[#This Row],[Unit_Price]]-Table3[[#This Row],[Unit_Cost]])</f>
        <v>454.79999999999995</v>
      </c>
      <c r="O725" s="7"/>
      <c r="P725" s="7"/>
      <c r="Q725" s="7"/>
      <c r="S725"/>
    </row>
    <row r="726" spans="1:19" x14ac:dyDescent="0.3">
      <c r="A726" s="1">
        <v>1080</v>
      </c>
      <c r="B726" s="2">
        <v>45114</v>
      </c>
      <c r="C726" s="1" t="s">
        <v>29</v>
      </c>
      <c r="D726" s="1" t="s">
        <v>47</v>
      </c>
      <c r="E726" s="1">
        <v>5993.5</v>
      </c>
      <c r="F726" s="1">
        <v>14</v>
      </c>
      <c r="G726" s="1" t="s">
        <v>24</v>
      </c>
      <c r="H726" s="1">
        <v>4127.54</v>
      </c>
      <c r="I726" s="1">
        <v>4495.13</v>
      </c>
      <c r="J726" s="1" t="s">
        <v>27</v>
      </c>
      <c r="K726" s="1">
        <v>0.06</v>
      </c>
      <c r="L726" s="1" t="s">
        <v>25</v>
      </c>
      <c r="M726" s="1" t="s">
        <v>21</v>
      </c>
      <c r="N726" s="1">
        <f>SUM(Table3[[#This Row],[Unit_Price]]-Table3[[#This Row],[Unit_Cost]])</f>
        <v>367.59000000000015</v>
      </c>
      <c r="O726" s="7"/>
      <c r="P726" s="7"/>
      <c r="Q726" s="7"/>
      <c r="S726"/>
    </row>
    <row r="727" spans="1:19" x14ac:dyDescent="0.3">
      <c r="A727" s="1">
        <v>1085</v>
      </c>
      <c r="B727" s="2">
        <v>44933</v>
      </c>
      <c r="C727" s="1" t="s">
        <v>32</v>
      </c>
      <c r="D727" s="1" t="s">
        <v>48</v>
      </c>
      <c r="E727" s="1">
        <v>2719.89</v>
      </c>
      <c r="F727" s="1">
        <v>16</v>
      </c>
      <c r="G727" s="1" t="s">
        <v>24</v>
      </c>
      <c r="H727" s="1">
        <v>472.08</v>
      </c>
      <c r="I727" s="1">
        <v>842.46</v>
      </c>
      <c r="J727" s="1" t="s">
        <v>27</v>
      </c>
      <c r="K727" s="1">
        <v>0</v>
      </c>
      <c r="L727" s="1" t="s">
        <v>18</v>
      </c>
      <c r="M727" s="1" t="s">
        <v>21</v>
      </c>
      <c r="N727" s="1">
        <f>SUM(Table3[[#This Row],[Unit_Price]]-Table3[[#This Row],[Unit_Cost]])</f>
        <v>370.38000000000005</v>
      </c>
      <c r="O727" s="7"/>
      <c r="P727" s="7"/>
      <c r="Q727" s="7"/>
      <c r="S727"/>
    </row>
    <row r="728" spans="1:19" x14ac:dyDescent="0.3">
      <c r="A728" s="1">
        <v>1075</v>
      </c>
      <c r="B728" s="2">
        <v>45059</v>
      </c>
      <c r="C728" s="1" t="s">
        <v>14</v>
      </c>
      <c r="D728" s="1" t="s">
        <v>49</v>
      </c>
      <c r="E728" s="1">
        <v>6653.49</v>
      </c>
      <c r="F728" s="1">
        <v>36</v>
      </c>
      <c r="G728" s="1" t="s">
        <v>26</v>
      </c>
      <c r="H728" s="1">
        <v>4337.6099999999997</v>
      </c>
      <c r="I728" s="1">
        <v>4386.82</v>
      </c>
      <c r="J728" s="1" t="s">
        <v>17</v>
      </c>
      <c r="K728" s="1">
        <v>0.23</v>
      </c>
      <c r="L728" s="1" t="s">
        <v>28</v>
      </c>
      <c r="M728" s="1" t="s">
        <v>19</v>
      </c>
      <c r="N728" s="1">
        <f>SUM(Table3[[#This Row],[Unit_Price]]-Table3[[#This Row],[Unit_Cost]])</f>
        <v>49.210000000000036</v>
      </c>
      <c r="O728" s="7"/>
      <c r="P728" s="7"/>
      <c r="Q728" s="7"/>
      <c r="S728"/>
    </row>
    <row r="729" spans="1:19" x14ac:dyDescent="0.3">
      <c r="A729" s="1">
        <v>1036</v>
      </c>
      <c r="B729" s="2">
        <v>45161</v>
      </c>
      <c r="C729" s="1" t="s">
        <v>22</v>
      </c>
      <c r="D729" s="1" t="s">
        <v>50</v>
      </c>
      <c r="E729" s="1">
        <v>8167.9</v>
      </c>
      <c r="F729" s="1">
        <v>25</v>
      </c>
      <c r="G729" s="1" t="s">
        <v>24</v>
      </c>
      <c r="H729" s="1">
        <v>2520.9699999999998</v>
      </c>
      <c r="I729" s="1">
        <v>2707.1099999999901</v>
      </c>
      <c r="J729" s="1" t="s">
        <v>27</v>
      </c>
      <c r="K729" s="1">
        <v>0.25</v>
      </c>
      <c r="L729" s="1" t="s">
        <v>18</v>
      </c>
      <c r="M729" s="1" t="s">
        <v>21</v>
      </c>
      <c r="N729" s="1">
        <f>SUM(Table3[[#This Row],[Unit_Price]]-Table3[[#This Row],[Unit_Cost]])</f>
        <v>186.13999999999032</v>
      </c>
      <c r="O729" s="7"/>
      <c r="P729" s="7"/>
      <c r="Q729" s="7"/>
      <c r="S729"/>
    </row>
    <row r="730" spans="1:19" x14ac:dyDescent="0.3">
      <c r="A730" s="1">
        <v>1099</v>
      </c>
      <c r="B730" s="2">
        <v>44971</v>
      </c>
      <c r="C730" s="1" t="s">
        <v>22</v>
      </c>
      <c r="D730" s="1" t="s">
        <v>44</v>
      </c>
      <c r="E730" s="1">
        <v>7802.45</v>
      </c>
      <c r="F730" s="1">
        <v>32</v>
      </c>
      <c r="G730" s="1" t="s">
        <v>26</v>
      </c>
      <c r="H730" s="1">
        <v>1517.86</v>
      </c>
      <c r="I730" s="1">
        <v>1948.46</v>
      </c>
      <c r="J730" s="1" t="s">
        <v>27</v>
      </c>
      <c r="K730" s="1">
        <v>0.02</v>
      </c>
      <c r="L730" s="1" t="s">
        <v>28</v>
      </c>
      <c r="M730" s="1" t="s">
        <v>19</v>
      </c>
      <c r="N730" s="1">
        <f>SUM(Table3[[#This Row],[Unit_Price]]-Table3[[#This Row],[Unit_Cost]])</f>
        <v>430.60000000000014</v>
      </c>
      <c r="O730" s="7"/>
      <c r="P730" s="7"/>
      <c r="Q730" s="7"/>
      <c r="S730"/>
    </row>
    <row r="731" spans="1:19" x14ac:dyDescent="0.3">
      <c r="A731" s="1">
        <v>1019</v>
      </c>
      <c r="B731" s="2">
        <v>45240</v>
      </c>
      <c r="C731" s="1" t="s">
        <v>14</v>
      </c>
      <c r="D731" s="1" t="s">
        <v>45</v>
      </c>
      <c r="E731" s="1">
        <v>7632.43</v>
      </c>
      <c r="F731" s="1">
        <v>33</v>
      </c>
      <c r="G731" s="1" t="s">
        <v>16</v>
      </c>
      <c r="H731" s="1">
        <v>1362.31</v>
      </c>
      <c r="I731" s="1">
        <v>1486.29</v>
      </c>
      <c r="J731" s="1" t="s">
        <v>17</v>
      </c>
      <c r="K731" s="1">
        <v>0.18</v>
      </c>
      <c r="L731" s="1" t="s">
        <v>28</v>
      </c>
      <c r="M731" s="1" t="s">
        <v>21</v>
      </c>
      <c r="N731" s="1">
        <f>SUM(Table3[[#This Row],[Unit_Price]]-Table3[[#This Row],[Unit_Cost]])</f>
        <v>123.98000000000002</v>
      </c>
      <c r="O731" s="7"/>
      <c r="P731" s="7"/>
      <c r="Q731" s="7"/>
      <c r="S731"/>
    </row>
    <row r="732" spans="1:19" x14ac:dyDescent="0.3">
      <c r="A732" s="1">
        <v>1020</v>
      </c>
      <c r="B732" s="2">
        <v>45175</v>
      </c>
      <c r="C732" s="1" t="s">
        <v>14</v>
      </c>
      <c r="D732" s="1" t="s">
        <v>46</v>
      </c>
      <c r="E732" s="1">
        <v>1958.45</v>
      </c>
      <c r="F732" s="1">
        <v>45</v>
      </c>
      <c r="G732" s="1" t="s">
        <v>26</v>
      </c>
      <c r="H732" s="1">
        <v>2188.4499999999998</v>
      </c>
      <c r="I732" s="1">
        <v>2255.0499999999902</v>
      </c>
      <c r="J732" s="1" t="s">
        <v>27</v>
      </c>
      <c r="K732" s="1">
        <v>0.11</v>
      </c>
      <c r="L732" s="1" t="s">
        <v>25</v>
      </c>
      <c r="M732" s="1" t="s">
        <v>21</v>
      </c>
      <c r="N732" s="1">
        <f>SUM(Table3[[#This Row],[Unit_Price]]-Table3[[#This Row],[Unit_Cost]])</f>
        <v>66.599999999990359</v>
      </c>
      <c r="O732" s="7"/>
      <c r="P732" s="7"/>
      <c r="Q732" s="7"/>
      <c r="S732"/>
    </row>
    <row r="733" spans="1:19" x14ac:dyDescent="0.3">
      <c r="A733" s="1">
        <v>1057</v>
      </c>
      <c r="B733" s="2">
        <v>44957</v>
      </c>
      <c r="C733" s="1" t="s">
        <v>29</v>
      </c>
      <c r="D733" s="1" t="s">
        <v>47</v>
      </c>
      <c r="E733" s="1">
        <v>975.01</v>
      </c>
      <c r="F733" s="1">
        <v>36</v>
      </c>
      <c r="G733" s="1" t="s">
        <v>24</v>
      </c>
      <c r="H733" s="1">
        <v>4995.3</v>
      </c>
      <c r="I733" s="1">
        <v>5165.09</v>
      </c>
      <c r="J733" s="1" t="s">
        <v>17</v>
      </c>
      <c r="K733" s="1">
        <v>0.24</v>
      </c>
      <c r="L733" s="1" t="s">
        <v>18</v>
      </c>
      <c r="M733" s="1" t="s">
        <v>19</v>
      </c>
      <c r="N733" s="1">
        <f>SUM(Table3[[#This Row],[Unit_Price]]-Table3[[#This Row],[Unit_Cost]])</f>
        <v>169.78999999999996</v>
      </c>
      <c r="O733" s="7"/>
      <c r="P733" s="7"/>
      <c r="Q733" s="7"/>
      <c r="S733"/>
    </row>
    <row r="734" spans="1:19" x14ac:dyDescent="0.3">
      <c r="A734" s="1">
        <v>1018</v>
      </c>
      <c r="B734" s="2">
        <v>44949</v>
      </c>
      <c r="C734" s="1" t="s">
        <v>22</v>
      </c>
      <c r="D734" s="1" t="s">
        <v>48</v>
      </c>
      <c r="E734" s="1">
        <v>7019.59</v>
      </c>
      <c r="F734" s="1">
        <v>20</v>
      </c>
      <c r="G734" s="1" t="s">
        <v>16</v>
      </c>
      <c r="H734" s="1">
        <v>1140.6199999999999</v>
      </c>
      <c r="I734" s="1">
        <v>1258.6299999999901</v>
      </c>
      <c r="J734" s="1" t="s">
        <v>17</v>
      </c>
      <c r="K734" s="1">
        <v>0.26</v>
      </c>
      <c r="L734" s="1" t="s">
        <v>25</v>
      </c>
      <c r="M734" s="1" t="s">
        <v>19</v>
      </c>
      <c r="N734" s="1">
        <f>SUM(Table3[[#This Row],[Unit_Price]]-Table3[[#This Row],[Unit_Cost]])</f>
        <v>118.00999999999021</v>
      </c>
      <c r="O734" s="7"/>
      <c r="P734" s="7"/>
      <c r="Q734" s="7"/>
      <c r="S734"/>
    </row>
    <row r="735" spans="1:19" x14ac:dyDescent="0.3">
      <c r="A735" s="1">
        <v>1047</v>
      </c>
      <c r="B735" s="2">
        <v>45086</v>
      </c>
      <c r="C735" s="1" t="s">
        <v>22</v>
      </c>
      <c r="D735" s="1" t="s">
        <v>49</v>
      </c>
      <c r="E735" s="1">
        <v>3746.64</v>
      </c>
      <c r="F735" s="1">
        <v>18</v>
      </c>
      <c r="G735" s="1" t="s">
        <v>26</v>
      </c>
      <c r="H735" s="1">
        <v>560.91999999999996</v>
      </c>
      <c r="I735" s="1">
        <v>1024.31</v>
      </c>
      <c r="J735" s="1" t="s">
        <v>17</v>
      </c>
      <c r="K735" s="1">
        <v>0.26</v>
      </c>
      <c r="L735" s="1" t="s">
        <v>18</v>
      </c>
      <c r="M735" s="1" t="s">
        <v>19</v>
      </c>
      <c r="N735" s="1">
        <f>SUM(Table3[[#This Row],[Unit_Price]]-Table3[[#This Row],[Unit_Cost]])</f>
        <v>463.39</v>
      </c>
      <c r="O735" s="7"/>
      <c r="P735" s="7"/>
      <c r="Q735" s="7"/>
      <c r="S735"/>
    </row>
    <row r="736" spans="1:19" x14ac:dyDescent="0.3">
      <c r="A736" s="1">
        <v>1049</v>
      </c>
      <c r="B736" s="2">
        <v>45289</v>
      </c>
      <c r="C736" s="1" t="s">
        <v>29</v>
      </c>
      <c r="D736" s="1" t="s">
        <v>50</v>
      </c>
      <c r="E736" s="1">
        <v>4380.2299999999996</v>
      </c>
      <c r="F736" s="1">
        <v>38</v>
      </c>
      <c r="G736" s="1" t="s">
        <v>24</v>
      </c>
      <c r="H736" s="1">
        <v>2945.92</v>
      </c>
      <c r="I736" s="1">
        <v>3381.22</v>
      </c>
      <c r="J736" s="1" t="s">
        <v>17</v>
      </c>
      <c r="K736" s="1">
        <v>0.23</v>
      </c>
      <c r="L736" s="1" t="s">
        <v>18</v>
      </c>
      <c r="M736" s="1" t="s">
        <v>21</v>
      </c>
      <c r="N736" s="1">
        <f>SUM(Table3[[#This Row],[Unit_Price]]-Table3[[#This Row],[Unit_Cost]])</f>
        <v>435.29999999999973</v>
      </c>
      <c r="O736" s="7"/>
      <c r="P736" s="7"/>
      <c r="Q736" s="7"/>
      <c r="S736"/>
    </row>
    <row r="737" spans="1:19" x14ac:dyDescent="0.3">
      <c r="A737" s="1">
        <v>1014</v>
      </c>
      <c r="B737" s="2">
        <v>45084</v>
      </c>
      <c r="C737" s="1" t="s">
        <v>33</v>
      </c>
      <c r="D737" s="1" t="s">
        <v>44</v>
      </c>
      <c r="E737" s="1">
        <v>408.38</v>
      </c>
      <c r="F737" s="1">
        <v>3</v>
      </c>
      <c r="G737" s="1" t="s">
        <v>31</v>
      </c>
      <c r="H737" s="1">
        <v>2468.29</v>
      </c>
      <c r="I737" s="1">
        <v>2723.13</v>
      </c>
      <c r="J737" s="1" t="s">
        <v>17</v>
      </c>
      <c r="K737" s="1">
        <v>0.08</v>
      </c>
      <c r="L737" s="1" t="s">
        <v>18</v>
      </c>
      <c r="M737" s="1" t="s">
        <v>21</v>
      </c>
      <c r="N737" s="1">
        <f>SUM(Table3[[#This Row],[Unit_Price]]-Table3[[#This Row],[Unit_Cost]])</f>
        <v>254.84000000000015</v>
      </c>
      <c r="O737" s="7"/>
      <c r="P737" s="7"/>
      <c r="Q737" s="7"/>
      <c r="S737"/>
    </row>
    <row r="738" spans="1:19" x14ac:dyDescent="0.3">
      <c r="A738" s="1">
        <v>1015</v>
      </c>
      <c r="B738" s="2">
        <v>44965</v>
      </c>
      <c r="C738" s="1" t="s">
        <v>29</v>
      </c>
      <c r="D738" s="1" t="s">
        <v>45</v>
      </c>
      <c r="E738" s="1">
        <v>2669.81</v>
      </c>
      <c r="F738" s="1">
        <v>23</v>
      </c>
      <c r="G738" s="1" t="s">
        <v>31</v>
      </c>
      <c r="H738" s="1">
        <v>2644.77</v>
      </c>
      <c r="I738" s="1">
        <v>2684.83</v>
      </c>
      <c r="J738" s="1" t="s">
        <v>27</v>
      </c>
      <c r="K738" s="1">
        <v>0.24</v>
      </c>
      <c r="L738" s="1" t="s">
        <v>18</v>
      </c>
      <c r="M738" s="1" t="s">
        <v>19</v>
      </c>
      <c r="N738" s="1">
        <f>SUM(Table3[[#This Row],[Unit_Price]]-Table3[[#This Row],[Unit_Cost]])</f>
        <v>40.059999999999945</v>
      </c>
      <c r="O738" s="7"/>
      <c r="P738" s="7"/>
      <c r="Q738" s="7"/>
      <c r="S738"/>
    </row>
    <row r="739" spans="1:19" x14ac:dyDescent="0.3">
      <c r="A739" s="1">
        <v>1031</v>
      </c>
      <c r="B739" s="2">
        <v>45008</v>
      </c>
      <c r="C739" s="1" t="s">
        <v>32</v>
      </c>
      <c r="D739" s="1" t="s">
        <v>46</v>
      </c>
      <c r="E739" s="1">
        <v>433.4</v>
      </c>
      <c r="F739" s="1">
        <v>32</v>
      </c>
      <c r="G739" s="1" t="s">
        <v>26</v>
      </c>
      <c r="H739" s="1">
        <v>3351.33</v>
      </c>
      <c r="I739" s="1">
        <v>3711.47</v>
      </c>
      <c r="J739" s="1" t="s">
        <v>27</v>
      </c>
      <c r="K739" s="1">
        <v>0.16</v>
      </c>
      <c r="L739" s="1" t="s">
        <v>18</v>
      </c>
      <c r="M739" s="1" t="s">
        <v>21</v>
      </c>
      <c r="N739" s="1">
        <f>SUM(Table3[[#This Row],[Unit_Price]]-Table3[[#This Row],[Unit_Cost]])</f>
        <v>360.13999999999987</v>
      </c>
      <c r="O739" s="7"/>
      <c r="P739" s="7"/>
      <c r="Q739" s="7"/>
      <c r="S739"/>
    </row>
    <row r="740" spans="1:19" x14ac:dyDescent="0.3">
      <c r="A740" s="1">
        <v>1001</v>
      </c>
      <c r="B740" s="2">
        <v>45282</v>
      </c>
      <c r="C740" s="1" t="s">
        <v>22</v>
      </c>
      <c r="D740" s="1" t="s">
        <v>47</v>
      </c>
      <c r="E740" s="1">
        <v>8803.94</v>
      </c>
      <c r="F740" s="1">
        <v>45</v>
      </c>
      <c r="G740" s="1" t="s">
        <v>26</v>
      </c>
      <c r="H740" s="1">
        <v>1372.36</v>
      </c>
      <c r="I740" s="1">
        <v>1687.83</v>
      </c>
      <c r="J740" s="1" t="s">
        <v>27</v>
      </c>
      <c r="K740" s="1">
        <v>0.02</v>
      </c>
      <c r="L740" s="1" t="s">
        <v>28</v>
      </c>
      <c r="M740" s="1" t="s">
        <v>19</v>
      </c>
      <c r="N740" s="1">
        <f>SUM(Table3[[#This Row],[Unit_Price]]-Table3[[#This Row],[Unit_Cost]])</f>
        <v>315.47000000000003</v>
      </c>
      <c r="O740" s="7"/>
      <c r="P740" s="7"/>
      <c r="Q740" s="7"/>
      <c r="S740"/>
    </row>
    <row r="741" spans="1:19" x14ac:dyDescent="0.3">
      <c r="A741" s="1">
        <v>1054</v>
      </c>
      <c r="B741" s="2">
        <v>45184</v>
      </c>
      <c r="C741" s="1" t="s">
        <v>14</v>
      </c>
      <c r="D741" s="1" t="s">
        <v>48</v>
      </c>
      <c r="E741" s="1">
        <v>2509.63</v>
      </c>
      <c r="F741" s="1">
        <v>16</v>
      </c>
      <c r="G741" s="1" t="s">
        <v>31</v>
      </c>
      <c r="H741" s="1">
        <v>4557.79</v>
      </c>
      <c r="I741" s="1">
        <v>5043.3599999999997</v>
      </c>
      <c r="J741" s="1" t="s">
        <v>17</v>
      </c>
      <c r="K741" s="1">
        <v>0.14000000000000001</v>
      </c>
      <c r="L741" s="1" t="s">
        <v>28</v>
      </c>
      <c r="M741" s="1" t="s">
        <v>21</v>
      </c>
      <c r="N741" s="1">
        <f>SUM(Table3[[#This Row],[Unit_Price]]-Table3[[#This Row],[Unit_Cost]])</f>
        <v>485.56999999999971</v>
      </c>
      <c r="O741" s="7"/>
      <c r="P741" s="7"/>
      <c r="Q741" s="7"/>
      <c r="S741"/>
    </row>
    <row r="742" spans="1:19" x14ac:dyDescent="0.3">
      <c r="A742" s="1">
        <v>1003</v>
      </c>
      <c r="B742" s="2">
        <v>45132</v>
      </c>
      <c r="C742" s="1" t="s">
        <v>32</v>
      </c>
      <c r="D742" s="1" t="s">
        <v>49</v>
      </c>
      <c r="E742" s="1">
        <v>5617.64</v>
      </c>
      <c r="F742" s="1">
        <v>5</v>
      </c>
      <c r="G742" s="1" t="s">
        <v>24</v>
      </c>
      <c r="H742" s="1">
        <v>2206.58</v>
      </c>
      <c r="I742" s="1">
        <v>2490.4699999999998</v>
      </c>
      <c r="J742" s="1" t="s">
        <v>27</v>
      </c>
      <c r="K742" s="1">
        <v>0.28000000000000003</v>
      </c>
      <c r="L742" s="1" t="s">
        <v>18</v>
      </c>
      <c r="M742" s="1" t="s">
        <v>19</v>
      </c>
      <c r="N742" s="1">
        <f>SUM(Table3[[#This Row],[Unit_Price]]-Table3[[#This Row],[Unit_Cost]])</f>
        <v>283.88999999999987</v>
      </c>
      <c r="O742" s="7"/>
      <c r="P742" s="7"/>
      <c r="Q742" s="7"/>
      <c r="S742"/>
    </row>
    <row r="743" spans="1:19" x14ac:dyDescent="0.3">
      <c r="A743" s="1">
        <v>1016</v>
      </c>
      <c r="B743" s="2">
        <v>45003</v>
      </c>
      <c r="C743" s="1" t="s">
        <v>22</v>
      </c>
      <c r="D743" s="1" t="s">
        <v>50</v>
      </c>
      <c r="E743" s="1">
        <v>485.9</v>
      </c>
      <c r="F743" s="1">
        <v>4</v>
      </c>
      <c r="G743" s="1" t="s">
        <v>24</v>
      </c>
      <c r="H743" s="1">
        <v>688.98</v>
      </c>
      <c r="I743" s="1">
        <v>863.81</v>
      </c>
      <c r="J743" s="1" t="s">
        <v>27</v>
      </c>
      <c r="K743" s="1">
        <v>0.27</v>
      </c>
      <c r="L743" s="1" t="s">
        <v>28</v>
      </c>
      <c r="M743" s="1" t="s">
        <v>21</v>
      </c>
      <c r="N743" s="1">
        <f>SUM(Table3[[#This Row],[Unit_Price]]-Table3[[#This Row],[Unit_Cost]])</f>
        <v>174.82999999999993</v>
      </c>
      <c r="O743" s="7"/>
      <c r="P743" s="7"/>
      <c r="Q743" s="7"/>
      <c r="S743"/>
    </row>
    <row r="744" spans="1:19" x14ac:dyDescent="0.3">
      <c r="A744" s="1">
        <v>1087</v>
      </c>
      <c r="B744" s="2">
        <v>44938</v>
      </c>
      <c r="C744" s="1" t="s">
        <v>29</v>
      </c>
      <c r="D744" s="1" t="s">
        <v>44</v>
      </c>
      <c r="E744" s="1">
        <v>6701.79</v>
      </c>
      <c r="F744" s="1">
        <v>21</v>
      </c>
      <c r="G744" s="1" t="s">
        <v>24</v>
      </c>
      <c r="H744" s="1">
        <v>3724.38</v>
      </c>
      <c r="I744" s="1">
        <v>3988.7</v>
      </c>
      <c r="J744" s="1" t="s">
        <v>27</v>
      </c>
      <c r="K744" s="1">
        <v>0.03</v>
      </c>
      <c r="L744" s="1" t="s">
        <v>25</v>
      </c>
      <c r="M744" s="1" t="s">
        <v>21</v>
      </c>
      <c r="N744" s="1">
        <f>SUM(Table3[[#This Row],[Unit_Price]]-Table3[[#This Row],[Unit_Cost]])</f>
        <v>264.31999999999971</v>
      </c>
      <c r="O744" s="7"/>
      <c r="P744" s="7"/>
      <c r="Q744" s="7"/>
      <c r="S744"/>
    </row>
    <row r="745" spans="1:19" x14ac:dyDescent="0.3">
      <c r="A745" s="1">
        <v>1057</v>
      </c>
      <c r="B745" s="2">
        <v>45221</v>
      </c>
      <c r="C745" s="1" t="s">
        <v>32</v>
      </c>
      <c r="D745" s="1" t="s">
        <v>45</v>
      </c>
      <c r="E745" s="1">
        <v>3297.97</v>
      </c>
      <c r="F745" s="1">
        <v>40</v>
      </c>
      <c r="G745" s="1" t="s">
        <v>26</v>
      </c>
      <c r="H745" s="1">
        <v>3233.37</v>
      </c>
      <c r="I745" s="1">
        <v>3723.21</v>
      </c>
      <c r="J745" s="1" t="s">
        <v>27</v>
      </c>
      <c r="K745" s="1">
        <v>0.22</v>
      </c>
      <c r="L745" s="1" t="s">
        <v>25</v>
      </c>
      <c r="M745" s="1" t="s">
        <v>21</v>
      </c>
      <c r="N745" s="1">
        <f>SUM(Table3[[#This Row],[Unit_Price]]-Table3[[#This Row],[Unit_Cost]])</f>
        <v>489.84000000000015</v>
      </c>
      <c r="O745" s="7"/>
      <c r="P745" s="7"/>
      <c r="Q745" s="7"/>
      <c r="S745"/>
    </row>
    <row r="746" spans="1:19" x14ac:dyDescent="0.3">
      <c r="A746" s="1">
        <v>1075</v>
      </c>
      <c r="B746" s="2">
        <v>45150</v>
      </c>
      <c r="C746" s="1" t="s">
        <v>22</v>
      </c>
      <c r="D746" s="1" t="s">
        <v>46</v>
      </c>
      <c r="E746" s="1">
        <v>8989.4</v>
      </c>
      <c r="F746" s="1">
        <v>14</v>
      </c>
      <c r="G746" s="1" t="s">
        <v>16</v>
      </c>
      <c r="H746" s="1">
        <v>1612.93</v>
      </c>
      <c r="I746" s="1">
        <v>1964.15</v>
      </c>
      <c r="J746" s="1" t="s">
        <v>17</v>
      </c>
      <c r="K746" s="1">
        <v>0.24</v>
      </c>
      <c r="L746" s="1" t="s">
        <v>25</v>
      </c>
      <c r="M746" s="1" t="s">
        <v>21</v>
      </c>
      <c r="N746" s="1">
        <f>SUM(Table3[[#This Row],[Unit_Price]]-Table3[[#This Row],[Unit_Cost]])</f>
        <v>351.22</v>
      </c>
      <c r="O746" s="7"/>
      <c r="P746" s="7"/>
      <c r="Q746" s="7"/>
      <c r="S746"/>
    </row>
    <row r="747" spans="1:19" x14ac:dyDescent="0.3">
      <c r="A747" s="1">
        <v>1012</v>
      </c>
      <c r="B747" s="2">
        <v>44939</v>
      </c>
      <c r="C747" s="1" t="s">
        <v>33</v>
      </c>
      <c r="D747" s="1" t="s">
        <v>47</v>
      </c>
      <c r="E747" s="1">
        <v>8892.3700000000008</v>
      </c>
      <c r="F747" s="1">
        <v>39</v>
      </c>
      <c r="G747" s="1" t="s">
        <v>16</v>
      </c>
      <c r="H747" s="1">
        <v>3126.52</v>
      </c>
      <c r="I747" s="1">
        <v>3465.79</v>
      </c>
      <c r="J747" s="1" t="s">
        <v>27</v>
      </c>
      <c r="K747" s="1">
        <v>0.08</v>
      </c>
      <c r="L747" s="1" t="s">
        <v>18</v>
      </c>
      <c r="M747" s="1" t="s">
        <v>19</v>
      </c>
      <c r="N747" s="1">
        <f>SUM(Table3[[#This Row],[Unit_Price]]-Table3[[#This Row],[Unit_Cost]])</f>
        <v>339.27</v>
      </c>
      <c r="O747" s="7"/>
      <c r="P747" s="7"/>
      <c r="Q747" s="7"/>
      <c r="S747"/>
    </row>
    <row r="748" spans="1:19" x14ac:dyDescent="0.3">
      <c r="A748" s="1">
        <v>1074</v>
      </c>
      <c r="B748" s="2">
        <v>44972</v>
      </c>
      <c r="C748" s="1" t="s">
        <v>33</v>
      </c>
      <c r="D748" s="1" t="s">
        <v>48</v>
      </c>
      <c r="E748" s="1">
        <v>3320.38</v>
      </c>
      <c r="F748" s="1">
        <v>31</v>
      </c>
      <c r="G748" s="1" t="s">
        <v>16</v>
      </c>
      <c r="H748" s="1">
        <v>1138.32</v>
      </c>
      <c r="I748" s="1">
        <v>1266.25</v>
      </c>
      <c r="J748" s="1" t="s">
        <v>17</v>
      </c>
      <c r="K748" s="1">
        <v>0.14000000000000001</v>
      </c>
      <c r="L748" s="1" t="s">
        <v>18</v>
      </c>
      <c r="M748" s="1" t="s">
        <v>21</v>
      </c>
      <c r="N748" s="1">
        <f>SUM(Table3[[#This Row],[Unit_Price]]-Table3[[#This Row],[Unit_Cost]])</f>
        <v>127.93000000000006</v>
      </c>
      <c r="O748" s="7"/>
      <c r="P748" s="7"/>
      <c r="Q748" s="7"/>
      <c r="S748"/>
    </row>
    <row r="749" spans="1:19" x14ac:dyDescent="0.3">
      <c r="A749" s="1">
        <v>1096</v>
      </c>
      <c r="B749" s="2">
        <v>45081</v>
      </c>
      <c r="C749" s="1" t="s">
        <v>14</v>
      </c>
      <c r="D749" s="1" t="s">
        <v>49</v>
      </c>
      <c r="E749" s="1">
        <v>9019.51</v>
      </c>
      <c r="F749" s="1">
        <v>14</v>
      </c>
      <c r="G749" s="1" t="s">
        <v>16</v>
      </c>
      <c r="H749" s="1">
        <v>2251.9499999999998</v>
      </c>
      <c r="I749" s="1">
        <v>2626.3199999999902</v>
      </c>
      <c r="J749" s="1" t="s">
        <v>17</v>
      </c>
      <c r="K749" s="1">
        <v>0.21</v>
      </c>
      <c r="L749" s="1" t="s">
        <v>28</v>
      </c>
      <c r="M749" s="1" t="s">
        <v>19</v>
      </c>
      <c r="N749" s="1">
        <f>SUM(Table3[[#This Row],[Unit_Price]]-Table3[[#This Row],[Unit_Cost]])</f>
        <v>374.36999999999034</v>
      </c>
      <c r="O749" s="7"/>
      <c r="P749" s="7"/>
      <c r="Q749" s="7"/>
      <c r="S749"/>
    </row>
    <row r="750" spans="1:19" x14ac:dyDescent="0.3">
      <c r="A750" s="1">
        <v>1016</v>
      </c>
      <c r="B750" s="2">
        <v>45039</v>
      </c>
      <c r="C750" s="1" t="s">
        <v>22</v>
      </c>
      <c r="D750" s="1" t="s">
        <v>50</v>
      </c>
      <c r="E750" s="1">
        <v>9961.9599999999991</v>
      </c>
      <c r="F750" s="1">
        <v>6</v>
      </c>
      <c r="G750" s="1" t="s">
        <v>16</v>
      </c>
      <c r="H750" s="1">
        <v>4502.09</v>
      </c>
      <c r="I750" s="1">
        <v>4879.72</v>
      </c>
      <c r="J750" s="1" t="s">
        <v>27</v>
      </c>
      <c r="K750" s="1">
        <v>0.13</v>
      </c>
      <c r="L750" s="1" t="s">
        <v>28</v>
      </c>
      <c r="M750" s="1" t="s">
        <v>19</v>
      </c>
      <c r="N750" s="1">
        <f>SUM(Table3[[#This Row],[Unit_Price]]-Table3[[#This Row],[Unit_Cost]])</f>
        <v>377.63000000000011</v>
      </c>
      <c r="O750" s="7"/>
      <c r="P750" s="7"/>
      <c r="Q750" s="7"/>
      <c r="S750"/>
    </row>
    <row r="751" spans="1:19" x14ac:dyDescent="0.3">
      <c r="A751" s="1">
        <v>1072</v>
      </c>
      <c r="B751" s="2">
        <v>45159</v>
      </c>
      <c r="C751" s="1" t="s">
        <v>33</v>
      </c>
      <c r="D751" s="1" t="s">
        <v>44</v>
      </c>
      <c r="E751" s="1">
        <v>8271.6200000000008</v>
      </c>
      <c r="F751" s="1">
        <v>12</v>
      </c>
      <c r="G751" s="1" t="s">
        <v>26</v>
      </c>
      <c r="H751" s="1">
        <v>710.99</v>
      </c>
      <c r="I751" s="1">
        <v>876.46</v>
      </c>
      <c r="J751" s="1" t="s">
        <v>17</v>
      </c>
      <c r="K751" s="1">
        <v>0.03</v>
      </c>
      <c r="L751" s="1" t="s">
        <v>28</v>
      </c>
      <c r="M751" s="1" t="s">
        <v>19</v>
      </c>
      <c r="N751" s="1">
        <f>SUM(Table3[[#This Row],[Unit_Price]]-Table3[[#This Row],[Unit_Cost]])</f>
        <v>165.47000000000003</v>
      </c>
      <c r="O751" s="7"/>
      <c r="P751" s="7"/>
      <c r="Q751" s="7"/>
      <c r="S751"/>
    </row>
    <row r="752" spans="1:19" x14ac:dyDescent="0.3">
      <c r="A752" s="1">
        <v>1076</v>
      </c>
      <c r="B752" s="2">
        <v>44943</v>
      </c>
      <c r="C752" s="1" t="s">
        <v>29</v>
      </c>
      <c r="D752" s="1" t="s">
        <v>45</v>
      </c>
      <c r="E752" s="1">
        <v>8464.23</v>
      </c>
      <c r="F752" s="1">
        <v>16</v>
      </c>
      <c r="G752" s="1" t="s">
        <v>26</v>
      </c>
      <c r="H752" s="1">
        <v>1964.15</v>
      </c>
      <c r="I752" s="1">
        <v>2211.17</v>
      </c>
      <c r="J752" s="1" t="s">
        <v>17</v>
      </c>
      <c r="K752" s="1">
        <v>0.21</v>
      </c>
      <c r="L752" s="1" t="s">
        <v>25</v>
      </c>
      <c r="M752" s="1" t="s">
        <v>19</v>
      </c>
      <c r="N752" s="1">
        <f>SUM(Table3[[#This Row],[Unit_Price]]-Table3[[#This Row],[Unit_Cost]])</f>
        <v>247.01999999999998</v>
      </c>
      <c r="O752" s="7"/>
      <c r="P752" s="7"/>
      <c r="Q752" s="7"/>
      <c r="S752"/>
    </row>
    <row r="753" spans="1:19" x14ac:dyDescent="0.3">
      <c r="A753" s="1">
        <v>1024</v>
      </c>
      <c r="B753" s="2">
        <v>45286</v>
      </c>
      <c r="C753" s="1" t="s">
        <v>22</v>
      </c>
      <c r="D753" s="1" t="s">
        <v>46</v>
      </c>
      <c r="E753" s="1">
        <v>2565.19</v>
      </c>
      <c r="F753" s="1">
        <v>17</v>
      </c>
      <c r="G753" s="1" t="s">
        <v>16</v>
      </c>
      <c r="H753" s="1">
        <v>4114.66</v>
      </c>
      <c r="I753" s="1">
        <v>4269.0199999999904</v>
      </c>
      <c r="J753" s="1" t="s">
        <v>17</v>
      </c>
      <c r="K753" s="1">
        <v>0.27</v>
      </c>
      <c r="L753" s="1" t="s">
        <v>25</v>
      </c>
      <c r="M753" s="1" t="s">
        <v>21</v>
      </c>
      <c r="N753" s="1">
        <f>SUM(Table3[[#This Row],[Unit_Price]]-Table3[[#This Row],[Unit_Cost]])</f>
        <v>154.35999999999058</v>
      </c>
      <c r="O753" s="7"/>
      <c r="P753" s="7"/>
      <c r="Q753" s="7"/>
      <c r="S753"/>
    </row>
    <row r="754" spans="1:19" x14ac:dyDescent="0.3">
      <c r="A754" s="1">
        <v>1028</v>
      </c>
      <c r="B754" s="2">
        <v>45149</v>
      </c>
      <c r="C754" s="1" t="s">
        <v>29</v>
      </c>
      <c r="D754" s="1" t="s">
        <v>47</v>
      </c>
      <c r="E754" s="1">
        <v>5809.35</v>
      </c>
      <c r="F754" s="1">
        <v>45</v>
      </c>
      <c r="G754" s="1" t="s">
        <v>26</v>
      </c>
      <c r="H754" s="1">
        <v>4848.9799999999996</v>
      </c>
      <c r="I754" s="1">
        <v>4985.75</v>
      </c>
      <c r="J754" s="1" t="s">
        <v>17</v>
      </c>
      <c r="K754" s="1">
        <v>0.2</v>
      </c>
      <c r="L754" s="1" t="s">
        <v>25</v>
      </c>
      <c r="M754" s="1" t="s">
        <v>19</v>
      </c>
      <c r="N754" s="1">
        <f>SUM(Table3[[#This Row],[Unit_Price]]-Table3[[#This Row],[Unit_Cost]])</f>
        <v>136.77000000000044</v>
      </c>
      <c r="O754" s="7"/>
      <c r="P754" s="7"/>
      <c r="Q754" s="7"/>
      <c r="S754"/>
    </row>
    <row r="755" spans="1:19" x14ac:dyDescent="0.3">
      <c r="A755" s="1">
        <v>1008</v>
      </c>
      <c r="B755" s="2">
        <v>45280</v>
      </c>
      <c r="C755" s="1" t="s">
        <v>29</v>
      </c>
      <c r="D755" s="1" t="s">
        <v>48</v>
      </c>
      <c r="E755" s="1">
        <v>765.83</v>
      </c>
      <c r="F755" s="1">
        <v>23</v>
      </c>
      <c r="G755" s="1" t="s">
        <v>26</v>
      </c>
      <c r="H755" s="1">
        <v>2296.9299999999998</v>
      </c>
      <c r="I755" s="1">
        <v>2319.62</v>
      </c>
      <c r="J755" s="1" t="s">
        <v>17</v>
      </c>
      <c r="K755" s="1">
        <v>0.23</v>
      </c>
      <c r="L755" s="1" t="s">
        <v>25</v>
      </c>
      <c r="M755" s="1" t="s">
        <v>21</v>
      </c>
      <c r="N755" s="1">
        <f>SUM(Table3[[#This Row],[Unit_Price]]-Table3[[#This Row],[Unit_Cost]])</f>
        <v>22.690000000000055</v>
      </c>
      <c r="O755" s="7"/>
      <c r="P755" s="7"/>
      <c r="Q755" s="7"/>
      <c r="S755"/>
    </row>
    <row r="756" spans="1:19" x14ac:dyDescent="0.3">
      <c r="A756" s="1">
        <v>1092</v>
      </c>
      <c r="B756" s="2">
        <v>45114</v>
      </c>
      <c r="C756" s="1" t="s">
        <v>33</v>
      </c>
      <c r="D756" s="1" t="s">
        <v>49</v>
      </c>
      <c r="E756" s="1">
        <v>1039.69</v>
      </c>
      <c r="F756" s="1">
        <v>14</v>
      </c>
      <c r="G756" s="1" t="s">
        <v>16</v>
      </c>
      <c r="H756" s="1">
        <v>2559.65</v>
      </c>
      <c r="I756" s="1">
        <v>2709.4</v>
      </c>
      <c r="J756" s="1" t="s">
        <v>17</v>
      </c>
      <c r="K756" s="1">
        <v>0.11</v>
      </c>
      <c r="L756" s="1" t="s">
        <v>28</v>
      </c>
      <c r="M756" s="1" t="s">
        <v>21</v>
      </c>
      <c r="N756" s="1">
        <f>SUM(Table3[[#This Row],[Unit_Price]]-Table3[[#This Row],[Unit_Cost]])</f>
        <v>149.75</v>
      </c>
      <c r="O756" s="7"/>
      <c r="P756" s="7"/>
      <c r="Q756" s="7"/>
      <c r="S756"/>
    </row>
    <row r="757" spans="1:19" x14ac:dyDescent="0.3">
      <c r="A757" s="1">
        <v>1036</v>
      </c>
      <c r="B757" s="2">
        <v>45270</v>
      </c>
      <c r="C757" s="1" t="s">
        <v>22</v>
      </c>
      <c r="D757" s="1" t="s">
        <v>50</v>
      </c>
      <c r="E757" s="1">
        <v>9989.0400000000009</v>
      </c>
      <c r="F757" s="1">
        <v>7</v>
      </c>
      <c r="G757" s="1" t="s">
        <v>24</v>
      </c>
      <c r="H757" s="1">
        <v>2882.25</v>
      </c>
      <c r="I757" s="1">
        <v>3163.7</v>
      </c>
      <c r="J757" s="1" t="s">
        <v>17</v>
      </c>
      <c r="K757" s="1">
        <v>0.05</v>
      </c>
      <c r="L757" s="1" t="s">
        <v>18</v>
      </c>
      <c r="M757" s="1" t="s">
        <v>21</v>
      </c>
      <c r="N757" s="1">
        <f>SUM(Table3[[#This Row],[Unit_Price]]-Table3[[#This Row],[Unit_Cost]])</f>
        <v>281.44999999999982</v>
      </c>
      <c r="O757" s="7"/>
      <c r="P757" s="7"/>
      <c r="Q757" s="7"/>
      <c r="S757"/>
    </row>
    <row r="758" spans="1:19" x14ac:dyDescent="0.3">
      <c r="A758" s="1">
        <v>1090</v>
      </c>
      <c r="B758" s="2">
        <v>45291</v>
      </c>
      <c r="C758" s="1" t="s">
        <v>32</v>
      </c>
      <c r="D758" s="1" t="s">
        <v>44</v>
      </c>
      <c r="E758" s="1">
        <v>3333.73</v>
      </c>
      <c r="F758" s="1">
        <v>46</v>
      </c>
      <c r="G758" s="1" t="s">
        <v>26</v>
      </c>
      <c r="H758" s="1">
        <v>4665.12</v>
      </c>
      <c r="I758" s="1">
        <v>4675.8999999999996</v>
      </c>
      <c r="J758" s="1" t="s">
        <v>27</v>
      </c>
      <c r="K758" s="1">
        <v>0.19</v>
      </c>
      <c r="L758" s="1" t="s">
        <v>18</v>
      </c>
      <c r="M758" s="1" t="s">
        <v>21</v>
      </c>
      <c r="N758" s="1">
        <f>SUM(Table3[[#This Row],[Unit_Price]]-Table3[[#This Row],[Unit_Cost]])</f>
        <v>10.779999999999745</v>
      </c>
      <c r="O758" s="7"/>
      <c r="P758" s="7"/>
      <c r="Q758" s="7"/>
      <c r="S758"/>
    </row>
    <row r="759" spans="1:19" x14ac:dyDescent="0.3">
      <c r="A759" s="1">
        <v>1008</v>
      </c>
      <c r="B759" s="2">
        <v>45089</v>
      </c>
      <c r="C759" s="1" t="s">
        <v>33</v>
      </c>
      <c r="D759" s="1" t="s">
        <v>45</v>
      </c>
      <c r="E759" s="1">
        <v>7507.02</v>
      </c>
      <c r="F759" s="1">
        <v>32</v>
      </c>
      <c r="G759" s="1" t="s">
        <v>24</v>
      </c>
      <c r="H759" s="1">
        <v>4298.12</v>
      </c>
      <c r="I759" s="1">
        <v>4446.8999999999996</v>
      </c>
      <c r="J759" s="1" t="s">
        <v>27</v>
      </c>
      <c r="K759" s="1">
        <v>0.1</v>
      </c>
      <c r="L759" s="1" t="s">
        <v>25</v>
      </c>
      <c r="M759" s="1" t="s">
        <v>19</v>
      </c>
      <c r="N759" s="1">
        <f>SUM(Table3[[#This Row],[Unit_Price]]-Table3[[#This Row],[Unit_Cost]])</f>
        <v>148.77999999999975</v>
      </c>
      <c r="O759" s="7"/>
      <c r="P759" s="7"/>
      <c r="Q759" s="7"/>
      <c r="S759"/>
    </row>
    <row r="760" spans="1:19" x14ac:dyDescent="0.3">
      <c r="A760" s="1">
        <v>1058</v>
      </c>
      <c r="B760" s="2">
        <v>45252</v>
      </c>
      <c r="C760" s="1" t="s">
        <v>33</v>
      </c>
      <c r="D760" s="1" t="s">
        <v>46</v>
      </c>
      <c r="E760" s="1">
        <v>8085.98</v>
      </c>
      <c r="F760" s="1">
        <v>15</v>
      </c>
      <c r="G760" s="1" t="s">
        <v>26</v>
      </c>
      <c r="H760" s="1">
        <v>894.48</v>
      </c>
      <c r="I760" s="1">
        <v>1336.37</v>
      </c>
      <c r="J760" s="1" t="s">
        <v>17</v>
      </c>
      <c r="K760" s="1">
        <v>0.26</v>
      </c>
      <c r="L760" s="1" t="s">
        <v>18</v>
      </c>
      <c r="M760" s="1" t="s">
        <v>21</v>
      </c>
      <c r="N760" s="1">
        <f>SUM(Table3[[#This Row],[Unit_Price]]-Table3[[#This Row],[Unit_Cost]])</f>
        <v>441.88999999999987</v>
      </c>
      <c r="O760" s="7"/>
      <c r="P760" s="7"/>
      <c r="Q760" s="7"/>
      <c r="S760"/>
    </row>
    <row r="761" spans="1:19" x14ac:dyDescent="0.3">
      <c r="A761" s="1">
        <v>1060</v>
      </c>
      <c r="B761" s="2">
        <v>45000</v>
      </c>
      <c r="C761" s="1" t="s">
        <v>22</v>
      </c>
      <c r="D761" s="1" t="s">
        <v>47</v>
      </c>
      <c r="E761" s="1">
        <v>8594.43</v>
      </c>
      <c r="F761" s="1">
        <v>44</v>
      </c>
      <c r="G761" s="1" t="s">
        <v>26</v>
      </c>
      <c r="H761" s="1">
        <v>2211.9499999999998</v>
      </c>
      <c r="I761" s="1">
        <v>2512.8399999999901</v>
      </c>
      <c r="J761" s="1" t="s">
        <v>17</v>
      </c>
      <c r="K761" s="1">
        <v>0.04</v>
      </c>
      <c r="L761" s="1" t="s">
        <v>18</v>
      </c>
      <c r="M761" s="1" t="s">
        <v>19</v>
      </c>
      <c r="N761" s="1">
        <f>SUM(Table3[[#This Row],[Unit_Price]]-Table3[[#This Row],[Unit_Cost]])</f>
        <v>300.88999999999032</v>
      </c>
      <c r="O761" s="7"/>
      <c r="P761" s="7"/>
      <c r="Q761" s="7"/>
      <c r="S761"/>
    </row>
    <row r="762" spans="1:19" x14ac:dyDescent="0.3">
      <c r="A762" s="1">
        <v>1050</v>
      </c>
      <c r="B762" s="2">
        <v>45159</v>
      </c>
      <c r="C762" s="1" t="s">
        <v>22</v>
      </c>
      <c r="D762" s="1" t="s">
        <v>48</v>
      </c>
      <c r="E762" s="1">
        <v>9976.52</v>
      </c>
      <c r="F762" s="1">
        <v>17</v>
      </c>
      <c r="G762" s="1" t="s">
        <v>16</v>
      </c>
      <c r="H762" s="1">
        <v>2346.8000000000002</v>
      </c>
      <c r="I762" s="1">
        <v>2654.65</v>
      </c>
      <c r="J762" s="1" t="s">
        <v>27</v>
      </c>
      <c r="K762" s="1">
        <v>0.13</v>
      </c>
      <c r="L762" s="1" t="s">
        <v>18</v>
      </c>
      <c r="M762" s="1" t="s">
        <v>21</v>
      </c>
      <c r="N762" s="1">
        <f>SUM(Table3[[#This Row],[Unit_Price]]-Table3[[#This Row],[Unit_Cost]])</f>
        <v>307.84999999999991</v>
      </c>
      <c r="O762" s="7"/>
      <c r="P762" s="7"/>
      <c r="Q762" s="7"/>
      <c r="S762"/>
    </row>
    <row r="763" spans="1:19" x14ac:dyDescent="0.3">
      <c r="A763" s="1">
        <v>1028</v>
      </c>
      <c r="B763" s="2">
        <v>45150</v>
      </c>
      <c r="C763" s="1" t="s">
        <v>29</v>
      </c>
      <c r="D763" s="1" t="s">
        <v>49</v>
      </c>
      <c r="E763" s="1">
        <v>2490.8200000000002</v>
      </c>
      <c r="F763" s="1">
        <v>41</v>
      </c>
      <c r="G763" s="1" t="s">
        <v>26</v>
      </c>
      <c r="H763" s="1">
        <v>3956.03</v>
      </c>
      <c r="I763" s="1">
        <v>4163.68</v>
      </c>
      <c r="J763" s="1" t="s">
        <v>27</v>
      </c>
      <c r="K763" s="1">
        <v>0.12</v>
      </c>
      <c r="L763" s="1" t="s">
        <v>25</v>
      </c>
      <c r="M763" s="1" t="s">
        <v>21</v>
      </c>
      <c r="N763" s="1">
        <f>SUM(Table3[[#This Row],[Unit_Price]]-Table3[[#This Row],[Unit_Cost]])</f>
        <v>207.65000000000009</v>
      </c>
      <c r="O763" s="7"/>
      <c r="P763" s="7"/>
      <c r="Q763" s="7"/>
      <c r="S763"/>
    </row>
    <row r="764" spans="1:19" x14ac:dyDescent="0.3">
      <c r="A764" s="1">
        <v>1092</v>
      </c>
      <c r="B764" s="2">
        <v>45245</v>
      </c>
      <c r="C764" s="1" t="s">
        <v>22</v>
      </c>
      <c r="D764" s="1" t="s">
        <v>50</v>
      </c>
      <c r="E764" s="1">
        <v>499.47</v>
      </c>
      <c r="F764" s="1">
        <v>47</v>
      </c>
      <c r="G764" s="1" t="s">
        <v>31</v>
      </c>
      <c r="H764" s="1">
        <v>3034.32</v>
      </c>
      <c r="I764" s="1">
        <v>3375.79</v>
      </c>
      <c r="J764" s="1" t="s">
        <v>27</v>
      </c>
      <c r="K764" s="1">
        <v>0.28000000000000003</v>
      </c>
      <c r="L764" s="1" t="s">
        <v>28</v>
      </c>
      <c r="M764" s="1" t="s">
        <v>19</v>
      </c>
      <c r="N764" s="1">
        <f>SUM(Table3[[#This Row],[Unit_Price]]-Table3[[#This Row],[Unit_Cost]])</f>
        <v>341.4699999999998</v>
      </c>
      <c r="O764" s="7"/>
      <c r="P764" s="7"/>
      <c r="Q764" s="7"/>
      <c r="S764"/>
    </row>
    <row r="765" spans="1:19" x14ac:dyDescent="0.3">
      <c r="A765" s="1">
        <v>1041</v>
      </c>
      <c r="B765" s="2">
        <v>44986</v>
      </c>
      <c r="C765" s="1" t="s">
        <v>29</v>
      </c>
      <c r="D765" s="1" t="s">
        <v>44</v>
      </c>
      <c r="E765" s="1">
        <v>4170.8</v>
      </c>
      <c r="F765" s="1">
        <v>44</v>
      </c>
      <c r="G765" s="1" t="s">
        <v>31</v>
      </c>
      <c r="H765" s="1">
        <v>3288.39</v>
      </c>
      <c r="I765" s="1">
        <v>3391.46</v>
      </c>
      <c r="J765" s="1" t="s">
        <v>27</v>
      </c>
      <c r="K765" s="1">
        <v>0.05</v>
      </c>
      <c r="L765" s="1" t="s">
        <v>28</v>
      </c>
      <c r="M765" s="1" t="s">
        <v>21</v>
      </c>
      <c r="N765" s="1">
        <f>SUM(Table3[[#This Row],[Unit_Price]]-Table3[[#This Row],[Unit_Cost]])</f>
        <v>103.07000000000016</v>
      </c>
      <c r="O765" s="7"/>
      <c r="P765" s="7"/>
      <c r="Q765" s="7"/>
      <c r="S765"/>
    </row>
    <row r="766" spans="1:19" x14ac:dyDescent="0.3">
      <c r="A766" s="1">
        <v>1100</v>
      </c>
      <c r="B766" s="2">
        <v>45261</v>
      </c>
      <c r="C766" s="1" t="s">
        <v>33</v>
      </c>
      <c r="D766" s="1" t="s">
        <v>45</v>
      </c>
      <c r="E766" s="1">
        <v>1387.8</v>
      </c>
      <c r="F766" s="1">
        <v>34</v>
      </c>
      <c r="G766" s="1" t="s">
        <v>16</v>
      </c>
      <c r="H766" s="1">
        <v>4991.09</v>
      </c>
      <c r="I766" s="1">
        <v>5402.28</v>
      </c>
      <c r="J766" s="1" t="s">
        <v>17</v>
      </c>
      <c r="K766" s="1">
        <v>0</v>
      </c>
      <c r="L766" s="1" t="s">
        <v>18</v>
      </c>
      <c r="M766" s="1" t="s">
        <v>21</v>
      </c>
      <c r="N766" s="1">
        <f>SUM(Table3[[#This Row],[Unit_Price]]-Table3[[#This Row],[Unit_Cost]])</f>
        <v>411.1899999999996</v>
      </c>
      <c r="O766" s="7"/>
      <c r="P766" s="7"/>
      <c r="Q766" s="7"/>
      <c r="S766"/>
    </row>
    <row r="767" spans="1:19" x14ac:dyDescent="0.3">
      <c r="A767" s="1">
        <v>1064</v>
      </c>
      <c r="B767" s="2">
        <v>45148</v>
      </c>
      <c r="C767" s="1" t="s">
        <v>14</v>
      </c>
      <c r="D767" s="1" t="s">
        <v>46</v>
      </c>
      <c r="E767" s="1">
        <v>322.02</v>
      </c>
      <c r="F767" s="1">
        <v>5</v>
      </c>
      <c r="G767" s="1" t="s">
        <v>24</v>
      </c>
      <c r="H767" s="1">
        <v>421.05</v>
      </c>
      <c r="I767" s="1">
        <v>488.23</v>
      </c>
      <c r="J767" s="1" t="s">
        <v>17</v>
      </c>
      <c r="K767" s="1">
        <v>7.0000000000000007E-2</v>
      </c>
      <c r="L767" s="1" t="s">
        <v>28</v>
      </c>
      <c r="M767" s="1" t="s">
        <v>21</v>
      </c>
      <c r="N767" s="1">
        <f>SUM(Table3[[#This Row],[Unit_Price]]-Table3[[#This Row],[Unit_Cost]])</f>
        <v>67.180000000000007</v>
      </c>
      <c r="O767" s="7"/>
      <c r="P767" s="7"/>
      <c r="Q767" s="7"/>
      <c r="S767"/>
    </row>
    <row r="768" spans="1:19" x14ac:dyDescent="0.3">
      <c r="A768" s="1">
        <v>1027</v>
      </c>
      <c r="B768" s="2">
        <v>44963</v>
      </c>
      <c r="C768" s="1" t="s">
        <v>32</v>
      </c>
      <c r="D768" s="1" t="s">
        <v>47</v>
      </c>
      <c r="E768" s="1">
        <v>3668.23</v>
      </c>
      <c r="F768" s="1">
        <v>45</v>
      </c>
      <c r="G768" s="1" t="s">
        <v>24</v>
      </c>
      <c r="H768" s="1">
        <v>1153.9000000000001</v>
      </c>
      <c r="I768" s="1">
        <v>1485.34</v>
      </c>
      <c r="J768" s="1" t="s">
        <v>27</v>
      </c>
      <c r="K768" s="1">
        <v>0.25</v>
      </c>
      <c r="L768" s="1" t="s">
        <v>28</v>
      </c>
      <c r="M768" s="1" t="s">
        <v>21</v>
      </c>
      <c r="N768" s="1">
        <f>SUM(Table3[[#This Row],[Unit_Price]]-Table3[[#This Row],[Unit_Cost]])</f>
        <v>331.43999999999983</v>
      </c>
      <c r="O768" s="7"/>
      <c r="P768" s="7"/>
      <c r="Q768" s="7"/>
      <c r="S768"/>
    </row>
    <row r="769" spans="1:19" x14ac:dyDescent="0.3">
      <c r="A769" s="1">
        <v>1063</v>
      </c>
      <c r="B769" s="2">
        <v>45204</v>
      </c>
      <c r="C769" s="1" t="s">
        <v>33</v>
      </c>
      <c r="D769" s="1" t="s">
        <v>48</v>
      </c>
      <c r="E769" s="1">
        <v>7859.01</v>
      </c>
      <c r="F769" s="1">
        <v>27</v>
      </c>
      <c r="G769" s="1" t="s">
        <v>24</v>
      </c>
      <c r="H769" s="1">
        <v>2069.08</v>
      </c>
      <c r="I769" s="1">
        <v>2246.2399999999998</v>
      </c>
      <c r="J769" s="1" t="s">
        <v>27</v>
      </c>
      <c r="K769" s="1">
        <v>0.06</v>
      </c>
      <c r="L769" s="1" t="s">
        <v>25</v>
      </c>
      <c r="M769" s="1" t="s">
        <v>21</v>
      </c>
      <c r="N769" s="1">
        <f>SUM(Table3[[#This Row],[Unit_Price]]-Table3[[#This Row],[Unit_Cost]])</f>
        <v>177.15999999999985</v>
      </c>
      <c r="O769" s="7"/>
      <c r="P769" s="7"/>
      <c r="Q769" s="7"/>
      <c r="S769"/>
    </row>
    <row r="770" spans="1:19" x14ac:dyDescent="0.3">
      <c r="A770" s="1">
        <v>1017</v>
      </c>
      <c r="B770" s="2">
        <v>45122</v>
      </c>
      <c r="C770" s="1" t="s">
        <v>22</v>
      </c>
      <c r="D770" s="1" t="s">
        <v>49</v>
      </c>
      <c r="E770" s="1">
        <v>5705.19</v>
      </c>
      <c r="F770" s="1">
        <v>23</v>
      </c>
      <c r="G770" s="1" t="s">
        <v>31</v>
      </c>
      <c r="H770" s="1">
        <v>1771.52</v>
      </c>
      <c r="I770" s="1">
        <v>2147.8000000000002</v>
      </c>
      <c r="J770" s="1" t="s">
        <v>27</v>
      </c>
      <c r="K770" s="1">
        <v>7.0000000000000007E-2</v>
      </c>
      <c r="L770" s="1" t="s">
        <v>25</v>
      </c>
      <c r="M770" s="1" t="s">
        <v>19</v>
      </c>
      <c r="N770" s="1">
        <f>SUM(Table3[[#This Row],[Unit_Price]]-Table3[[#This Row],[Unit_Cost]])</f>
        <v>376.2800000000002</v>
      </c>
      <c r="O770" s="7"/>
      <c r="P770" s="7"/>
      <c r="Q770" s="7"/>
      <c r="S770"/>
    </row>
    <row r="771" spans="1:19" x14ac:dyDescent="0.3">
      <c r="A771" s="1">
        <v>1073</v>
      </c>
      <c r="B771" s="2">
        <v>45278</v>
      </c>
      <c r="C771" s="1" t="s">
        <v>32</v>
      </c>
      <c r="D771" s="1" t="s">
        <v>50</v>
      </c>
      <c r="E771" s="1">
        <v>3196.5</v>
      </c>
      <c r="F771" s="1">
        <v>40</v>
      </c>
      <c r="G771" s="1" t="s">
        <v>24</v>
      </c>
      <c r="H771" s="1">
        <v>157.15</v>
      </c>
      <c r="I771" s="1">
        <v>436.53</v>
      </c>
      <c r="J771" s="1" t="s">
        <v>27</v>
      </c>
      <c r="K771" s="1">
        <v>0.04</v>
      </c>
      <c r="L771" s="1" t="s">
        <v>18</v>
      </c>
      <c r="M771" s="1" t="s">
        <v>21</v>
      </c>
      <c r="N771" s="1">
        <f>SUM(Table3[[#This Row],[Unit_Price]]-Table3[[#This Row],[Unit_Cost]])</f>
        <v>279.38</v>
      </c>
      <c r="O771" s="7"/>
      <c r="P771" s="7"/>
      <c r="Q771" s="7"/>
      <c r="S771"/>
    </row>
    <row r="772" spans="1:19" x14ac:dyDescent="0.3">
      <c r="A772" s="1">
        <v>1033</v>
      </c>
      <c r="B772" s="2">
        <v>45168</v>
      </c>
      <c r="C772" s="1" t="s">
        <v>14</v>
      </c>
      <c r="D772" s="1" t="s">
        <v>44</v>
      </c>
      <c r="E772" s="1">
        <v>6577.99</v>
      </c>
      <c r="F772" s="1">
        <v>14</v>
      </c>
      <c r="G772" s="1" t="s">
        <v>24</v>
      </c>
      <c r="H772" s="1">
        <v>504.3</v>
      </c>
      <c r="I772" s="1">
        <v>735.95</v>
      </c>
      <c r="J772" s="1" t="s">
        <v>17</v>
      </c>
      <c r="K772" s="1">
        <v>0.21</v>
      </c>
      <c r="L772" s="1" t="s">
        <v>18</v>
      </c>
      <c r="M772" s="1" t="s">
        <v>21</v>
      </c>
      <c r="N772" s="1">
        <f>SUM(Table3[[#This Row],[Unit_Price]]-Table3[[#This Row],[Unit_Cost]])</f>
        <v>231.65000000000003</v>
      </c>
      <c r="O772" s="7"/>
      <c r="P772" s="7"/>
      <c r="Q772" s="7"/>
      <c r="S772"/>
    </row>
    <row r="773" spans="1:19" x14ac:dyDescent="0.3">
      <c r="A773" s="1">
        <v>1084</v>
      </c>
      <c r="B773" s="2">
        <v>45250</v>
      </c>
      <c r="C773" s="1" t="s">
        <v>14</v>
      </c>
      <c r="D773" s="1" t="s">
        <v>45</v>
      </c>
      <c r="E773" s="1">
        <v>2396.98</v>
      </c>
      <c r="F773" s="1">
        <v>15</v>
      </c>
      <c r="G773" s="1" t="s">
        <v>16</v>
      </c>
      <c r="H773" s="1">
        <v>3420.72</v>
      </c>
      <c r="I773" s="1">
        <v>3513.74</v>
      </c>
      <c r="J773" s="1" t="s">
        <v>27</v>
      </c>
      <c r="K773" s="1">
        <v>0.02</v>
      </c>
      <c r="L773" s="1" t="s">
        <v>18</v>
      </c>
      <c r="M773" s="1" t="s">
        <v>19</v>
      </c>
      <c r="N773" s="1">
        <f>SUM(Table3[[#This Row],[Unit_Price]]-Table3[[#This Row],[Unit_Cost]])</f>
        <v>93.019999999999982</v>
      </c>
      <c r="O773" s="7"/>
      <c r="P773" s="7"/>
      <c r="Q773" s="7"/>
      <c r="S773"/>
    </row>
    <row r="774" spans="1:19" x14ac:dyDescent="0.3">
      <c r="A774" s="1">
        <v>1077</v>
      </c>
      <c r="B774" s="2">
        <v>45145</v>
      </c>
      <c r="C774" s="1" t="s">
        <v>29</v>
      </c>
      <c r="D774" s="1" t="s">
        <v>46</v>
      </c>
      <c r="E774" s="1">
        <v>242.38</v>
      </c>
      <c r="F774" s="1">
        <v>43</v>
      </c>
      <c r="G774" s="1" t="s">
        <v>24</v>
      </c>
      <c r="H774" s="1">
        <v>4402.66</v>
      </c>
      <c r="I774" s="1">
        <v>4724.7</v>
      </c>
      <c r="J774" s="1" t="s">
        <v>27</v>
      </c>
      <c r="K774" s="1">
        <v>0.1</v>
      </c>
      <c r="L774" s="1" t="s">
        <v>25</v>
      </c>
      <c r="M774" s="1" t="s">
        <v>21</v>
      </c>
      <c r="N774" s="1">
        <f>SUM(Table3[[#This Row],[Unit_Price]]-Table3[[#This Row],[Unit_Cost]])</f>
        <v>322.03999999999996</v>
      </c>
      <c r="O774" s="7"/>
      <c r="P774" s="7"/>
      <c r="Q774" s="7"/>
      <c r="S774"/>
    </row>
    <row r="775" spans="1:19" x14ac:dyDescent="0.3">
      <c r="A775" s="1">
        <v>1092</v>
      </c>
      <c r="B775" s="2">
        <v>45118</v>
      </c>
      <c r="C775" s="1" t="s">
        <v>32</v>
      </c>
      <c r="D775" s="1" t="s">
        <v>47</v>
      </c>
      <c r="E775" s="1">
        <v>7667.1</v>
      </c>
      <c r="F775" s="1">
        <v>33</v>
      </c>
      <c r="G775" s="1" t="s">
        <v>31</v>
      </c>
      <c r="H775" s="1">
        <v>2595.42</v>
      </c>
      <c r="I775" s="1">
        <v>3083.06</v>
      </c>
      <c r="J775" s="1" t="s">
        <v>27</v>
      </c>
      <c r="K775" s="1">
        <v>0.08</v>
      </c>
      <c r="L775" s="1" t="s">
        <v>28</v>
      </c>
      <c r="M775" s="1" t="s">
        <v>19</v>
      </c>
      <c r="N775" s="1">
        <f>SUM(Table3[[#This Row],[Unit_Price]]-Table3[[#This Row],[Unit_Cost]])</f>
        <v>487.63999999999987</v>
      </c>
      <c r="O775" s="7"/>
      <c r="P775" s="7"/>
      <c r="Q775" s="7"/>
      <c r="S775"/>
    </row>
    <row r="776" spans="1:19" x14ac:dyDescent="0.3">
      <c r="A776" s="1">
        <v>1029</v>
      </c>
      <c r="B776" s="2">
        <v>44943</v>
      </c>
      <c r="C776" s="1" t="s">
        <v>29</v>
      </c>
      <c r="D776" s="1" t="s">
        <v>48</v>
      </c>
      <c r="E776" s="1">
        <v>6275.06</v>
      </c>
      <c r="F776" s="1">
        <v>31</v>
      </c>
      <c r="G776" s="1" t="s">
        <v>31</v>
      </c>
      <c r="H776" s="1">
        <v>2719</v>
      </c>
      <c r="I776" s="1">
        <v>3133.55</v>
      </c>
      <c r="J776" s="1" t="s">
        <v>17</v>
      </c>
      <c r="K776" s="1">
        <v>0.17</v>
      </c>
      <c r="L776" s="1" t="s">
        <v>25</v>
      </c>
      <c r="M776" s="1" t="s">
        <v>21</v>
      </c>
      <c r="N776" s="1">
        <f>SUM(Table3[[#This Row],[Unit_Price]]-Table3[[#This Row],[Unit_Cost]])</f>
        <v>414.55000000000018</v>
      </c>
      <c r="O776" s="7"/>
      <c r="P776" s="7"/>
      <c r="Q776" s="7"/>
      <c r="S776"/>
    </row>
    <row r="777" spans="1:19" x14ac:dyDescent="0.3">
      <c r="A777" s="1">
        <v>1013</v>
      </c>
      <c r="B777" s="2">
        <v>44938</v>
      </c>
      <c r="C777" s="1" t="s">
        <v>33</v>
      </c>
      <c r="D777" s="1" t="s">
        <v>49</v>
      </c>
      <c r="E777" s="1">
        <v>7646.8</v>
      </c>
      <c r="F777" s="1">
        <v>35</v>
      </c>
      <c r="G777" s="1" t="s">
        <v>31</v>
      </c>
      <c r="H777" s="1">
        <v>1312.71</v>
      </c>
      <c r="I777" s="1">
        <v>1352.11</v>
      </c>
      <c r="J777" s="1" t="s">
        <v>17</v>
      </c>
      <c r="K777" s="1">
        <v>0.22</v>
      </c>
      <c r="L777" s="1" t="s">
        <v>25</v>
      </c>
      <c r="M777" s="1" t="s">
        <v>21</v>
      </c>
      <c r="N777" s="1">
        <f>SUM(Table3[[#This Row],[Unit_Price]]-Table3[[#This Row],[Unit_Cost]])</f>
        <v>39.399999999999864</v>
      </c>
      <c r="O777" s="7"/>
      <c r="P777" s="7"/>
      <c r="Q777" s="7"/>
      <c r="S777"/>
    </row>
    <row r="778" spans="1:19" x14ac:dyDescent="0.3">
      <c r="A778" s="1">
        <v>1046</v>
      </c>
      <c r="B778" s="2">
        <v>45119</v>
      </c>
      <c r="C778" s="1" t="s">
        <v>32</v>
      </c>
      <c r="D778" s="1" t="s">
        <v>50</v>
      </c>
      <c r="E778" s="1">
        <v>485.49</v>
      </c>
      <c r="F778" s="1">
        <v>17</v>
      </c>
      <c r="G778" s="1" t="s">
        <v>16</v>
      </c>
      <c r="H778" s="1">
        <v>3850.99</v>
      </c>
      <c r="I778" s="1">
        <v>4045.3399999999901</v>
      </c>
      <c r="J778" s="1" t="s">
        <v>17</v>
      </c>
      <c r="K778" s="1">
        <v>0.16</v>
      </c>
      <c r="L778" s="1" t="s">
        <v>28</v>
      </c>
      <c r="M778" s="1" t="s">
        <v>19</v>
      </c>
      <c r="N778" s="1">
        <f>SUM(Table3[[#This Row],[Unit_Price]]-Table3[[#This Row],[Unit_Cost]])</f>
        <v>194.34999999999036</v>
      </c>
      <c r="O778" s="7"/>
      <c r="P778" s="7"/>
      <c r="Q778" s="7"/>
      <c r="S778"/>
    </row>
    <row r="779" spans="1:19" x14ac:dyDescent="0.3">
      <c r="A779" s="1">
        <v>1035</v>
      </c>
      <c r="B779" s="2">
        <v>44948</v>
      </c>
      <c r="C779" s="1" t="s">
        <v>33</v>
      </c>
      <c r="D779" s="1" t="s">
        <v>44</v>
      </c>
      <c r="E779" s="1">
        <v>8387.48</v>
      </c>
      <c r="F779" s="1">
        <v>28</v>
      </c>
      <c r="G779" s="1" t="s">
        <v>16</v>
      </c>
      <c r="H779" s="1">
        <v>3771.38</v>
      </c>
      <c r="I779" s="1">
        <v>4234.92</v>
      </c>
      <c r="J779" s="1" t="s">
        <v>27</v>
      </c>
      <c r="K779" s="1">
        <v>0.28000000000000003</v>
      </c>
      <c r="L779" s="1" t="s">
        <v>28</v>
      </c>
      <c r="M779" s="1" t="s">
        <v>21</v>
      </c>
      <c r="N779" s="1">
        <f>SUM(Table3[[#This Row],[Unit_Price]]-Table3[[#This Row],[Unit_Cost]])</f>
        <v>463.53999999999996</v>
      </c>
      <c r="O779" s="7"/>
      <c r="P779" s="7"/>
      <c r="Q779" s="7"/>
      <c r="S779"/>
    </row>
    <row r="780" spans="1:19" x14ac:dyDescent="0.3">
      <c r="A780" s="1">
        <v>1006</v>
      </c>
      <c r="B780" s="2">
        <v>45046</v>
      </c>
      <c r="C780" s="1" t="s">
        <v>29</v>
      </c>
      <c r="D780" s="1" t="s">
        <v>45</v>
      </c>
      <c r="E780" s="1">
        <v>6233.31</v>
      </c>
      <c r="F780" s="1">
        <v>19</v>
      </c>
      <c r="G780" s="1" t="s">
        <v>26</v>
      </c>
      <c r="H780" s="1">
        <v>2962.41</v>
      </c>
      <c r="I780" s="1">
        <v>3218.8999999999901</v>
      </c>
      <c r="J780" s="1" t="s">
        <v>27</v>
      </c>
      <c r="K780" s="1">
        <v>0.28999999999999998</v>
      </c>
      <c r="L780" s="1" t="s">
        <v>18</v>
      </c>
      <c r="M780" s="1" t="s">
        <v>21</v>
      </c>
      <c r="N780" s="1">
        <f>SUM(Table3[[#This Row],[Unit_Price]]-Table3[[#This Row],[Unit_Cost]])</f>
        <v>256.48999999999023</v>
      </c>
      <c r="O780" s="7"/>
      <c r="P780" s="7"/>
      <c r="Q780" s="7"/>
      <c r="S780"/>
    </row>
    <row r="781" spans="1:19" x14ac:dyDescent="0.3">
      <c r="A781" s="1">
        <v>1082</v>
      </c>
      <c r="B781" s="2">
        <v>45136</v>
      </c>
      <c r="C781" s="1" t="s">
        <v>32</v>
      </c>
      <c r="D781" s="1" t="s">
        <v>46</v>
      </c>
      <c r="E781" s="1">
        <v>5677.61</v>
      </c>
      <c r="F781" s="1">
        <v>46</v>
      </c>
      <c r="G781" s="1" t="s">
        <v>24</v>
      </c>
      <c r="H781" s="1">
        <v>1102.69</v>
      </c>
      <c r="I781" s="1">
        <v>1437.12</v>
      </c>
      <c r="J781" s="1" t="s">
        <v>27</v>
      </c>
      <c r="K781" s="1">
        <v>0.11</v>
      </c>
      <c r="L781" s="1" t="s">
        <v>28</v>
      </c>
      <c r="M781" s="1" t="s">
        <v>19</v>
      </c>
      <c r="N781" s="1">
        <f>SUM(Table3[[#This Row],[Unit_Price]]-Table3[[#This Row],[Unit_Cost]])</f>
        <v>334.42999999999984</v>
      </c>
      <c r="O781" s="7"/>
      <c r="P781" s="7"/>
      <c r="Q781" s="7"/>
      <c r="S781"/>
    </row>
    <row r="782" spans="1:19" x14ac:dyDescent="0.3">
      <c r="A782" s="1">
        <v>1069</v>
      </c>
      <c r="B782" s="2">
        <v>45232</v>
      </c>
      <c r="C782" s="1" t="s">
        <v>29</v>
      </c>
      <c r="D782" s="1" t="s">
        <v>47</v>
      </c>
      <c r="E782" s="1">
        <v>6283.68</v>
      </c>
      <c r="F782" s="1">
        <v>23</v>
      </c>
      <c r="G782" s="1" t="s">
        <v>16</v>
      </c>
      <c r="H782" s="1">
        <v>530.24</v>
      </c>
      <c r="I782" s="1">
        <v>987.41</v>
      </c>
      <c r="J782" s="1" t="s">
        <v>17</v>
      </c>
      <c r="K782" s="1">
        <v>0.23</v>
      </c>
      <c r="L782" s="1" t="s">
        <v>28</v>
      </c>
      <c r="M782" s="1" t="s">
        <v>19</v>
      </c>
      <c r="N782" s="1">
        <f>SUM(Table3[[#This Row],[Unit_Price]]-Table3[[#This Row],[Unit_Cost]])</f>
        <v>457.16999999999996</v>
      </c>
      <c r="O782" s="7"/>
      <c r="P782" s="7"/>
      <c r="Q782" s="7"/>
      <c r="S782"/>
    </row>
    <row r="783" spans="1:19" x14ac:dyDescent="0.3">
      <c r="A783" s="1">
        <v>1047</v>
      </c>
      <c r="B783" s="2">
        <v>45196</v>
      </c>
      <c r="C783" s="1" t="s">
        <v>32</v>
      </c>
      <c r="D783" s="1" t="s">
        <v>48</v>
      </c>
      <c r="E783" s="1">
        <v>8657.89</v>
      </c>
      <c r="F783" s="1">
        <v>32</v>
      </c>
      <c r="G783" s="1" t="s">
        <v>31</v>
      </c>
      <c r="H783" s="1">
        <v>367.98</v>
      </c>
      <c r="I783" s="1">
        <v>806.14</v>
      </c>
      <c r="J783" s="1" t="s">
        <v>17</v>
      </c>
      <c r="K783" s="1">
        <v>0.22</v>
      </c>
      <c r="L783" s="1" t="s">
        <v>28</v>
      </c>
      <c r="M783" s="1" t="s">
        <v>21</v>
      </c>
      <c r="N783" s="1">
        <f>SUM(Table3[[#This Row],[Unit_Price]]-Table3[[#This Row],[Unit_Cost]])</f>
        <v>438.15999999999997</v>
      </c>
      <c r="O783" s="7"/>
      <c r="P783" s="7"/>
      <c r="Q783" s="7"/>
      <c r="S783"/>
    </row>
    <row r="784" spans="1:19" x14ac:dyDescent="0.3">
      <c r="A784" s="1">
        <v>1025</v>
      </c>
      <c r="B784" s="2">
        <v>45118</v>
      </c>
      <c r="C784" s="1" t="s">
        <v>29</v>
      </c>
      <c r="D784" s="1" t="s">
        <v>49</v>
      </c>
      <c r="E784" s="1">
        <v>5910.67</v>
      </c>
      <c r="F784" s="1">
        <v>40</v>
      </c>
      <c r="G784" s="1" t="s">
        <v>31</v>
      </c>
      <c r="H784" s="1">
        <v>2983.85</v>
      </c>
      <c r="I784" s="1">
        <v>3239.74</v>
      </c>
      <c r="J784" s="1" t="s">
        <v>27</v>
      </c>
      <c r="K784" s="1">
        <v>0.27</v>
      </c>
      <c r="L784" s="1" t="s">
        <v>28</v>
      </c>
      <c r="M784" s="1" t="s">
        <v>19</v>
      </c>
      <c r="N784" s="1">
        <f>SUM(Table3[[#This Row],[Unit_Price]]-Table3[[#This Row],[Unit_Cost]])</f>
        <v>255.88999999999987</v>
      </c>
      <c r="O784" s="7"/>
      <c r="P784" s="7"/>
      <c r="Q784" s="7"/>
      <c r="S784"/>
    </row>
    <row r="785" spans="1:19" x14ac:dyDescent="0.3">
      <c r="A785" s="1">
        <v>1066</v>
      </c>
      <c r="B785" s="2">
        <v>45101</v>
      </c>
      <c r="C785" s="1" t="s">
        <v>14</v>
      </c>
      <c r="D785" s="1" t="s">
        <v>50</v>
      </c>
      <c r="E785" s="1">
        <v>5851.41</v>
      </c>
      <c r="F785" s="1">
        <v>13</v>
      </c>
      <c r="G785" s="1" t="s">
        <v>16</v>
      </c>
      <c r="H785" s="1">
        <v>4133.92</v>
      </c>
      <c r="I785" s="1">
        <v>4358.37</v>
      </c>
      <c r="J785" s="1" t="s">
        <v>27</v>
      </c>
      <c r="K785" s="1">
        <v>0.13</v>
      </c>
      <c r="L785" s="1" t="s">
        <v>18</v>
      </c>
      <c r="M785" s="1" t="s">
        <v>21</v>
      </c>
      <c r="N785" s="1">
        <f>SUM(Table3[[#This Row],[Unit_Price]]-Table3[[#This Row],[Unit_Cost]])</f>
        <v>224.44999999999982</v>
      </c>
      <c r="O785" s="7"/>
      <c r="P785" s="7"/>
      <c r="Q785" s="7"/>
      <c r="S785"/>
    </row>
    <row r="786" spans="1:19" x14ac:dyDescent="0.3">
      <c r="A786" s="1">
        <v>1010</v>
      </c>
      <c r="B786" s="2">
        <v>45211</v>
      </c>
      <c r="C786" s="1" t="s">
        <v>29</v>
      </c>
      <c r="D786" s="1" t="s">
        <v>44</v>
      </c>
      <c r="E786" s="1">
        <v>9907.7199999999993</v>
      </c>
      <c r="F786" s="1">
        <v>20</v>
      </c>
      <c r="G786" s="1" t="s">
        <v>16</v>
      </c>
      <c r="H786" s="1">
        <v>4298.74</v>
      </c>
      <c r="I786" s="1">
        <v>4475.1899999999996</v>
      </c>
      <c r="J786" s="1" t="s">
        <v>17</v>
      </c>
      <c r="K786" s="1">
        <v>0.16</v>
      </c>
      <c r="L786" s="1" t="s">
        <v>18</v>
      </c>
      <c r="M786" s="1" t="s">
        <v>19</v>
      </c>
      <c r="N786" s="1">
        <f>SUM(Table3[[#This Row],[Unit_Price]]-Table3[[#This Row],[Unit_Cost]])</f>
        <v>176.44999999999982</v>
      </c>
      <c r="O786" s="7"/>
      <c r="P786" s="7"/>
      <c r="Q786" s="7"/>
      <c r="S786"/>
    </row>
    <row r="787" spans="1:19" x14ac:dyDescent="0.3">
      <c r="A787" s="1">
        <v>1056</v>
      </c>
      <c r="B787" s="2">
        <v>45130</v>
      </c>
      <c r="C787" s="1" t="s">
        <v>14</v>
      </c>
      <c r="D787" s="1" t="s">
        <v>45</v>
      </c>
      <c r="E787" s="1">
        <v>7591.63</v>
      </c>
      <c r="F787" s="1">
        <v>35</v>
      </c>
      <c r="G787" s="1" t="s">
        <v>16</v>
      </c>
      <c r="H787" s="1">
        <v>2344.9299999999998</v>
      </c>
      <c r="I787" s="1">
        <v>2707.25</v>
      </c>
      <c r="J787" s="1" t="s">
        <v>27</v>
      </c>
      <c r="K787" s="1">
        <v>0.12</v>
      </c>
      <c r="L787" s="1" t="s">
        <v>28</v>
      </c>
      <c r="M787" s="1" t="s">
        <v>21</v>
      </c>
      <c r="N787" s="1">
        <f>SUM(Table3[[#This Row],[Unit_Price]]-Table3[[#This Row],[Unit_Cost]])</f>
        <v>362.32000000000016</v>
      </c>
      <c r="O787" s="7"/>
      <c r="P787" s="7"/>
      <c r="Q787" s="7"/>
      <c r="S787"/>
    </row>
    <row r="788" spans="1:19" x14ac:dyDescent="0.3">
      <c r="A788" s="1">
        <v>1030</v>
      </c>
      <c r="B788" s="2">
        <v>45090</v>
      </c>
      <c r="C788" s="1" t="s">
        <v>29</v>
      </c>
      <c r="D788" s="1" t="s">
        <v>46</v>
      </c>
      <c r="E788" s="1">
        <v>4478.71</v>
      </c>
      <c r="F788" s="1">
        <v>5</v>
      </c>
      <c r="G788" s="1" t="s">
        <v>26</v>
      </c>
      <c r="H788" s="1">
        <v>3932.14</v>
      </c>
      <c r="I788" s="1">
        <v>4082.7599999999902</v>
      </c>
      <c r="J788" s="1" t="s">
        <v>27</v>
      </c>
      <c r="K788" s="1">
        <v>0.26</v>
      </c>
      <c r="L788" s="1" t="s">
        <v>28</v>
      </c>
      <c r="M788" s="1" t="s">
        <v>19</v>
      </c>
      <c r="N788" s="1">
        <f>SUM(Table3[[#This Row],[Unit_Price]]-Table3[[#This Row],[Unit_Cost]])</f>
        <v>150.61999999999034</v>
      </c>
      <c r="O788" s="7"/>
      <c r="P788" s="7"/>
      <c r="Q788" s="7"/>
      <c r="S788"/>
    </row>
    <row r="789" spans="1:19" x14ac:dyDescent="0.3">
      <c r="A789" s="1">
        <v>1005</v>
      </c>
      <c r="B789" s="2">
        <v>45177</v>
      </c>
      <c r="C789" s="1" t="s">
        <v>32</v>
      </c>
      <c r="D789" s="1" t="s">
        <v>47</v>
      </c>
      <c r="E789" s="1">
        <v>7103.23</v>
      </c>
      <c r="F789" s="1">
        <v>9</v>
      </c>
      <c r="G789" s="1" t="s">
        <v>31</v>
      </c>
      <c r="H789" s="1">
        <v>4737.0600000000004</v>
      </c>
      <c r="I789" s="1">
        <v>4869.5</v>
      </c>
      <c r="J789" s="1" t="s">
        <v>27</v>
      </c>
      <c r="K789" s="1">
        <v>7.0000000000000007E-2</v>
      </c>
      <c r="L789" s="1" t="s">
        <v>18</v>
      </c>
      <c r="M789" s="1" t="s">
        <v>19</v>
      </c>
      <c r="N789" s="1">
        <f>SUM(Table3[[#This Row],[Unit_Price]]-Table3[[#This Row],[Unit_Cost]])</f>
        <v>132.4399999999996</v>
      </c>
      <c r="O789" s="7"/>
      <c r="P789" s="7"/>
      <c r="Q789" s="7"/>
      <c r="S789"/>
    </row>
    <row r="790" spans="1:19" x14ac:dyDescent="0.3">
      <c r="A790" s="1">
        <v>1033</v>
      </c>
      <c r="B790" s="2">
        <v>45153</v>
      </c>
      <c r="C790" s="1" t="s">
        <v>32</v>
      </c>
      <c r="D790" s="1" t="s">
        <v>48</v>
      </c>
      <c r="E790" s="1">
        <v>3953.38</v>
      </c>
      <c r="F790" s="1">
        <v>29</v>
      </c>
      <c r="G790" s="1" t="s">
        <v>26</v>
      </c>
      <c r="H790" s="1">
        <v>1412.09</v>
      </c>
      <c r="I790" s="1">
        <v>1596.6499999999901</v>
      </c>
      <c r="J790" s="1" t="s">
        <v>17</v>
      </c>
      <c r="K790" s="1">
        <v>7.0000000000000007E-2</v>
      </c>
      <c r="L790" s="1" t="s">
        <v>18</v>
      </c>
      <c r="M790" s="1" t="s">
        <v>19</v>
      </c>
      <c r="N790" s="1">
        <f>SUM(Table3[[#This Row],[Unit_Price]]-Table3[[#This Row],[Unit_Cost]])</f>
        <v>184.55999999999017</v>
      </c>
      <c r="O790" s="7"/>
      <c r="P790" s="7"/>
      <c r="Q790" s="7"/>
      <c r="S790"/>
    </row>
    <row r="791" spans="1:19" x14ac:dyDescent="0.3">
      <c r="A791" s="1">
        <v>1065</v>
      </c>
      <c r="B791" s="2">
        <v>44933</v>
      </c>
      <c r="C791" s="1" t="s">
        <v>32</v>
      </c>
      <c r="D791" s="1" t="s">
        <v>49</v>
      </c>
      <c r="E791" s="1">
        <v>2365.87</v>
      </c>
      <c r="F791" s="1">
        <v>6</v>
      </c>
      <c r="G791" s="1" t="s">
        <v>26</v>
      </c>
      <c r="H791" s="1">
        <v>2019.9</v>
      </c>
      <c r="I791" s="1">
        <v>2116.7399999999998</v>
      </c>
      <c r="J791" s="1" t="s">
        <v>27</v>
      </c>
      <c r="K791" s="1">
        <v>0.11</v>
      </c>
      <c r="L791" s="1" t="s">
        <v>28</v>
      </c>
      <c r="M791" s="1" t="s">
        <v>19</v>
      </c>
      <c r="N791" s="1">
        <f>SUM(Table3[[#This Row],[Unit_Price]]-Table3[[#This Row],[Unit_Cost]])</f>
        <v>96.839999999999691</v>
      </c>
      <c r="O791" s="7"/>
      <c r="P791" s="7"/>
      <c r="Q791" s="7"/>
      <c r="S791"/>
    </row>
    <row r="792" spans="1:19" x14ac:dyDescent="0.3">
      <c r="A792" s="1">
        <v>1018</v>
      </c>
      <c r="B792" s="2">
        <v>44955</v>
      </c>
      <c r="C792" s="1" t="s">
        <v>22</v>
      </c>
      <c r="D792" s="1" t="s">
        <v>50</v>
      </c>
      <c r="E792" s="1">
        <v>6008.83</v>
      </c>
      <c r="F792" s="1">
        <v>25</v>
      </c>
      <c r="G792" s="1" t="s">
        <v>24</v>
      </c>
      <c r="H792" s="1">
        <v>4660.82</v>
      </c>
      <c r="I792" s="1">
        <v>5011.4299999999903</v>
      </c>
      <c r="J792" s="1" t="s">
        <v>27</v>
      </c>
      <c r="K792" s="1">
        <v>7.0000000000000007E-2</v>
      </c>
      <c r="L792" s="1" t="s">
        <v>25</v>
      </c>
      <c r="M792" s="1" t="s">
        <v>19</v>
      </c>
      <c r="N792" s="1">
        <f>SUM(Table3[[#This Row],[Unit_Price]]-Table3[[#This Row],[Unit_Cost]])</f>
        <v>350.60999999999058</v>
      </c>
      <c r="O792" s="7"/>
      <c r="P792" s="7"/>
      <c r="Q792" s="7"/>
      <c r="S792"/>
    </row>
    <row r="793" spans="1:19" x14ac:dyDescent="0.3">
      <c r="A793" s="1">
        <v>1096</v>
      </c>
      <c r="B793" s="2">
        <v>44959</v>
      </c>
      <c r="C793" s="1" t="s">
        <v>33</v>
      </c>
      <c r="D793" s="1" t="s">
        <v>44</v>
      </c>
      <c r="E793" s="1">
        <v>9289</v>
      </c>
      <c r="F793" s="1">
        <v>31</v>
      </c>
      <c r="G793" s="1" t="s">
        <v>31</v>
      </c>
      <c r="H793" s="1">
        <v>1724.24</v>
      </c>
      <c r="I793" s="1">
        <v>2036.2</v>
      </c>
      <c r="J793" s="1" t="s">
        <v>27</v>
      </c>
      <c r="K793" s="1">
        <v>0.17</v>
      </c>
      <c r="L793" s="1" t="s">
        <v>18</v>
      </c>
      <c r="M793" s="1" t="s">
        <v>19</v>
      </c>
      <c r="N793" s="1">
        <f>SUM(Table3[[#This Row],[Unit_Price]]-Table3[[#This Row],[Unit_Cost]])</f>
        <v>311.96000000000004</v>
      </c>
      <c r="O793" s="7"/>
      <c r="P793" s="7"/>
      <c r="Q793" s="7"/>
      <c r="S793"/>
    </row>
    <row r="794" spans="1:19" x14ac:dyDescent="0.3">
      <c r="A794" s="1">
        <v>1049</v>
      </c>
      <c r="B794" s="2">
        <v>45060</v>
      </c>
      <c r="C794" s="1" t="s">
        <v>32</v>
      </c>
      <c r="D794" s="1" t="s">
        <v>45</v>
      </c>
      <c r="E794" s="1">
        <v>9298.48</v>
      </c>
      <c r="F794" s="1">
        <v>22</v>
      </c>
      <c r="G794" s="1" t="s">
        <v>31</v>
      </c>
      <c r="H794" s="1">
        <v>4573.6899999999996</v>
      </c>
      <c r="I794" s="1">
        <v>4820.2999999999902</v>
      </c>
      <c r="J794" s="1" t="s">
        <v>27</v>
      </c>
      <c r="K794" s="1">
        <v>0.04</v>
      </c>
      <c r="L794" s="1" t="s">
        <v>18</v>
      </c>
      <c r="M794" s="1" t="s">
        <v>19</v>
      </c>
      <c r="N794" s="1">
        <f>SUM(Table3[[#This Row],[Unit_Price]]-Table3[[#This Row],[Unit_Cost]])</f>
        <v>246.60999999999058</v>
      </c>
      <c r="O794" s="7"/>
      <c r="P794" s="7"/>
      <c r="Q794" s="7"/>
      <c r="S794"/>
    </row>
    <row r="795" spans="1:19" x14ac:dyDescent="0.3">
      <c r="A795" s="1">
        <v>1011</v>
      </c>
      <c r="B795" s="2">
        <v>45005</v>
      </c>
      <c r="C795" s="1" t="s">
        <v>14</v>
      </c>
      <c r="D795" s="1" t="s">
        <v>46</v>
      </c>
      <c r="E795" s="1">
        <v>3484.86</v>
      </c>
      <c r="F795" s="1">
        <v>2</v>
      </c>
      <c r="G795" s="1" t="s">
        <v>16</v>
      </c>
      <c r="H795" s="1">
        <v>4906.17</v>
      </c>
      <c r="I795" s="1">
        <v>5107.43</v>
      </c>
      <c r="J795" s="1" t="s">
        <v>17</v>
      </c>
      <c r="K795" s="1">
        <v>0.1</v>
      </c>
      <c r="L795" s="1" t="s">
        <v>18</v>
      </c>
      <c r="M795" s="1" t="s">
        <v>19</v>
      </c>
      <c r="N795" s="1">
        <f>SUM(Table3[[#This Row],[Unit_Price]]-Table3[[#This Row],[Unit_Cost]])</f>
        <v>201.26000000000022</v>
      </c>
      <c r="O795" s="7"/>
      <c r="P795" s="7"/>
      <c r="Q795" s="7"/>
      <c r="S795"/>
    </row>
    <row r="796" spans="1:19" x14ac:dyDescent="0.3">
      <c r="A796" s="1">
        <v>1085</v>
      </c>
      <c r="B796" s="2">
        <v>44984</v>
      </c>
      <c r="C796" s="1" t="s">
        <v>32</v>
      </c>
      <c r="D796" s="1" t="s">
        <v>47</v>
      </c>
      <c r="E796" s="1">
        <v>5324.01</v>
      </c>
      <c r="F796" s="1">
        <v>45</v>
      </c>
      <c r="G796" s="1" t="s">
        <v>16</v>
      </c>
      <c r="H796" s="1">
        <v>3325.96</v>
      </c>
      <c r="I796" s="1">
        <v>3781.4</v>
      </c>
      <c r="J796" s="1" t="s">
        <v>17</v>
      </c>
      <c r="K796" s="1">
        <v>0.27</v>
      </c>
      <c r="L796" s="1" t="s">
        <v>28</v>
      </c>
      <c r="M796" s="1" t="s">
        <v>19</v>
      </c>
      <c r="N796" s="1">
        <f>SUM(Table3[[#This Row],[Unit_Price]]-Table3[[#This Row],[Unit_Cost]])</f>
        <v>455.44000000000005</v>
      </c>
      <c r="O796" s="7"/>
      <c r="P796" s="7"/>
      <c r="Q796" s="7"/>
      <c r="S796"/>
    </row>
    <row r="797" spans="1:19" x14ac:dyDescent="0.3">
      <c r="A797" s="1">
        <v>1026</v>
      </c>
      <c r="B797" s="2">
        <v>44952</v>
      </c>
      <c r="C797" s="1" t="s">
        <v>22</v>
      </c>
      <c r="D797" s="1" t="s">
        <v>48</v>
      </c>
      <c r="E797" s="1">
        <v>2195.1999999999998</v>
      </c>
      <c r="F797" s="1">
        <v>5</v>
      </c>
      <c r="G797" s="1" t="s">
        <v>24</v>
      </c>
      <c r="H797" s="1">
        <v>4093.61</v>
      </c>
      <c r="I797" s="1">
        <v>4117.88</v>
      </c>
      <c r="J797" s="1" t="s">
        <v>17</v>
      </c>
      <c r="K797" s="1">
        <v>0.12</v>
      </c>
      <c r="L797" s="1" t="s">
        <v>28</v>
      </c>
      <c r="M797" s="1" t="s">
        <v>21</v>
      </c>
      <c r="N797" s="1">
        <f>SUM(Table3[[#This Row],[Unit_Price]]-Table3[[#This Row],[Unit_Cost]])</f>
        <v>24.269999999999982</v>
      </c>
      <c r="O797" s="7"/>
      <c r="P797" s="7"/>
      <c r="Q797" s="7"/>
      <c r="S797"/>
    </row>
    <row r="798" spans="1:19" x14ac:dyDescent="0.3">
      <c r="A798" s="1">
        <v>1063</v>
      </c>
      <c r="B798" s="2">
        <v>45152</v>
      </c>
      <c r="C798" s="1" t="s">
        <v>14</v>
      </c>
      <c r="D798" s="1" t="s">
        <v>49</v>
      </c>
      <c r="E798" s="1">
        <v>9956.75</v>
      </c>
      <c r="F798" s="1">
        <v>27</v>
      </c>
      <c r="G798" s="1" t="s">
        <v>26</v>
      </c>
      <c r="H798" s="1">
        <v>3760.25</v>
      </c>
      <c r="I798" s="1">
        <v>4147.1099999999997</v>
      </c>
      <c r="J798" s="1" t="s">
        <v>27</v>
      </c>
      <c r="K798" s="1">
        <v>0.22</v>
      </c>
      <c r="L798" s="1" t="s">
        <v>18</v>
      </c>
      <c r="M798" s="1" t="s">
        <v>19</v>
      </c>
      <c r="N798" s="1">
        <f>SUM(Table3[[#This Row],[Unit_Price]]-Table3[[#This Row],[Unit_Cost]])</f>
        <v>386.85999999999967</v>
      </c>
      <c r="O798" s="7"/>
      <c r="P798" s="7"/>
      <c r="Q798" s="7"/>
      <c r="S798"/>
    </row>
    <row r="799" spans="1:19" x14ac:dyDescent="0.3">
      <c r="A799" s="1">
        <v>1089</v>
      </c>
      <c r="B799" s="2">
        <v>45211</v>
      </c>
      <c r="C799" s="1" t="s">
        <v>22</v>
      </c>
      <c r="D799" s="1" t="s">
        <v>50</v>
      </c>
      <c r="E799" s="1">
        <v>9813.07</v>
      </c>
      <c r="F799" s="1">
        <v>25</v>
      </c>
      <c r="G799" s="1" t="s">
        <v>16</v>
      </c>
      <c r="H799" s="1">
        <v>3512.69</v>
      </c>
      <c r="I799" s="1">
        <v>3964.63</v>
      </c>
      <c r="J799" s="1" t="s">
        <v>17</v>
      </c>
      <c r="K799" s="1">
        <v>0.03</v>
      </c>
      <c r="L799" s="1" t="s">
        <v>28</v>
      </c>
      <c r="M799" s="1" t="s">
        <v>21</v>
      </c>
      <c r="N799" s="1">
        <f>SUM(Table3[[#This Row],[Unit_Price]]-Table3[[#This Row],[Unit_Cost]])</f>
        <v>451.94000000000005</v>
      </c>
      <c r="O799" s="7"/>
      <c r="P799" s="7"/>
      <c r="Q799" s="7"/>
      <c r="S799"/>
    </row>
    <row r="800" spans="1:19" x14ac:dyDescent="0.3">
      <c r="A800" s="1">
        <v>1086</v>
      </c>
      <c r="B800" s="2">
        <v>44930</v>
      </c>
      <c r="C800" s="1" t="s">
        <v>14</v>
      </c>
      <c r="D800" s="1" t="s">
        <v>44</v>
      </c>
      <c r="E800" s="1">
        <v>6530.14</v>
      </c>
      <c r="F800" s="1">
        <v>8</v>
      </c>
      <c r="G800" s="1" t="s">
        <v>16</v>
      </c>
      <c r="H800" s="1">
        <v>1569.31</v>
      </c>
      <c r="I800" s="1">
        <v>1798.02</v>
      </c>
      <c r="J800" s="1" t="s">
        <v>27</v>
      </c>
      <c r="K800" s="1">
        <v>7.0000000000000007E-2</v>
      </c>
      <c r="L800" s="1" t="s">
        <v>28</v>
      </c>
      <c r="M800" s="1" t="s">
        <v>19</v>
      </c>
      <c r="N800" s="1">
        <f>SUM(Table3[[#This Row],[Unit_Price]]-Table3[[#This Row],[Unit_Cost]])</f>
        <v>228.71000000000004</v>
      </c>
      <c r="O800" s="7"/>
      <c r="P800" s="7"/>
      <c r="Q800" s="7"/>
      <c r="S800"/>
    </row>
    <row r="801" spans="1:19" x14ac:dyDescent="0.3">
      <c r="A801" s="1">
        <v>1059</v>
      </c>
      <c r="B801" s="2">
        <v>45025</v>
      </c>
      <c r="C801" s="1" t="s">
        <v>29</v>
      </c>
      <c r="D801" s="1" t="s">
        <v>45</v>
      </c>
      <c r="E801" s="1">
        <v>8063.7</v>
      </c>
      <c r="F801" s="1">
        <v>1</v>
      </c>
      <c r="G801" s="1" t="s">
        <v>31</v>
      </c>
      <c r="H801" s="1">
        <v>332.62</v>
      </c>
      <c r="I801" s="1">
        <v>612.46</v>
      </c>
      <c r="J801" s="1" t="s">
        <v>17</v>
      </c>
      <c r="K801" s="1">
        <v>0.24</v>
      </c>
      <c r="L801" s="1" t="s">
        <v>18</v>
      </c>
      <c r="M801" s="1" t="s">
        <v>21</v>
      </c>
      <c r="N801" s="1">
        <f>SUM(Table3[[#This Row],[Unit_Price]]-Table3[[#This Row],[Unit_Cost]])</f>
        <v>279.84000000000003</v>
      </c>
      <c r="O801" s="7"/>
      <c r="P801" s="7"/>
      <c r="Q801" s="7"/>
      <c r="S801"/>
    </row>
    <row r="802" spans="1:19" x14ac:dyDescent="0.3">
      <c r="A802" s="1">
        <v>1027</v>
      </c>
      <c r="B802" s="2">
        <v>44965</v>
      </c>
      <c r="C802" s="1" t="s">
        <v>33</v>
      </c>
      <c r="D802" s="1" t="s">
        <v>46</v>
      </c>
      <c r="E802" s="1">
        <v>7179.49</v>
      </c>
      <c r="F802" s="1">
        <v>20</v>
      </c>
      <c r="G802" s="1" t="s">
        <v>31</v>
      </c>
      <c r="H802" s="1">
        <v>1748.11</v>
      </c>
      <c r="I802" s="1">
        <v>2220.9</v>
      </c>
      <c r="J802" s="1" t="s">
        <v>27</v>
      </c>
      <c r="K802" s="1">
        <v>0.23</v>
      </c>
      <c r="L802" s="1" t="s">
        <v>28</v>
      </c>
      <c r="M802" s="1" t="s">
        <v>21</v>
      </c>
      <c r="N802" s="1">
        <f>SUM(Table3[[#This Row],[Unit_Price]]-Table3[[#This Row],[Unit_Cost]])</f>
        <v>472.79000000000019</v>
      </c>
      <c r="O802" s="7"/>
      <c r="P802" s="7"/>
      <c r="Q802" s="7"/>
      <c r="S802"/>
    </row>
    <row r="803" spans="1:19" x14ac:dyDescent="0.3">
      <c r="A803" s="1">
        <v>1049</v>
      </c>
      <c r="B803" s="2">
        <v>45197</v>
      </c>
      <c r="C803" s="1" t="s">
        <v>33</v>
      </c>
      <c r="D803" s="1" t="s">
        <v>47</v>
      </c>
      <c r="E803" s="1">
        <v>5972.27</v>
      </c>
      <c r="F803" s="1">
        <v>44</v>
      </c>
      <c r="G803" s="1" t="s">
        <v>16</v>
      </c>
      <c r="H803" s="1">
        <v>3351.33</v>
      </c>
      <c r="I803" s="1">
        <v>3465.35</v>
      </c>
      <c r="J803" s="1" t="s">
        <v>17</v>
      </c>
      <c r="K803" s="1">
        <v>0.12</v>
      </c>
      <c r="L803" s="1" t="s">
        <v>25</v>
      </c>
      <c r="M803" s="1" t="s">
        <v>19</v>
      </c>
      <c r="N803" s="1">
        <f>SUM(Table3[[#This Row],[Unit_Price]]-Table3[[#This Row],[Unit_Cost]])</f>
        <v>114.01999999999998</v>
      </c>
      <c r="O803" s="7"/>
      <c r="P803" s="7"/>
      <c r="Q803" s="7"/>
      <c r="S803"/>
    </row>
    <row r="804" spans="1:19" x14ac:dyDescent="0.3">
      <c r="A804" s="1">
        <v>1077</v>
      </c>
      <c r="B804" s="2">
        <v>45211</v>
      </c>
      <c r="C804" s="1" t="s">
        <v>22</v>
      </c>
      <c r="D804" s="1" t="s">
        <v>48</v>
      </c>
      <c r="E804" s="1">
        <v>628.15</v>
      </c>
      <c r="F804" s="1">
        <v>23</v>
      </c>
      <c r="G804" s="1" t="s">
        <v>31</v>
      </c>
      <c r="H804" s="1">
        <v>557.52</v>
      </c>
      <c r="I804" s="1">
        <v>822.39</v>
      </c>
      <c r="J804" s="1" t="s">
        <v>17</v>
      </c>
      <c r="K804" s="1">
        <v>0.28999999999999998</v>
      </c>
      <c r="L804" s="1" t="s">
        <v>28</v>
      </c>
      <c r="M804" s="1" t="s">
        <v>19</v>
      </c>
      <c r="N804" s="1">
        <f>SUM(Table3[[#This Row],[Unit_Price]]-Table3[[#This Row],[Unit_Cost]])</f>
        <v>264.87</v>
      </c>
      <c r="O804" s="7"/>
      <c r="P804" s="7"/>
      <c r="Q804" s="7"/>
      <c r="S804"/>
    </row>
    <row r="805" spans="1:19" x14ac:dyDescent="0.3">
      <c r="A805" s="1">
        <v>1033</v>
      </c>
      <c r="B805" s="2">
        <v>45083</v>
      </c>
      <c r="C805" s="1" t="s">
        <v>33</v>
      </c>
      <c r="D805" s="1" t="s">
        <v>49</v>
      </c>
      <c r="E805" s="1">
        <v>4602.17</v>
      </c>
      <c r="F805" s="1">
        <v>32</v>
      </c>
      <c r="G805" s="1" t="s">
        <v>24</v>
      </c>
      <c r="H805" s="1">
        <v>108.99</v>
      </c>
      <c r="I805" s="1">
        <v>351.6</v>
      </c>
      <c r="J805" s="1" t="s">
        <v>17</v>
      </c>
      <c r="K805" s="1">
        <v>0.27</v>
      </c>
      <c r="L805" s="1" t="s">
        <v>28</v>
      </c>
      <c r="M805" s="1" t="s">
        <v>21</v>
      </c>
      <c r="N805" s="1">
        <f>SUM(Table3[[#This Row],[Unit_Price]]-Table3[[#This Row],[Unit_Cost]])</f>
        <v>242.61</v>
      </c>
      <c r="O805" s="7"/>
      <c r="P805" s="7"/>
      <c r="Q805" s="7"/>
      <c r="S805"/>
    </row>
    <row r="806" spans="1:19" x14ac:dyDescent="0.3">
      <c r="A806" s="1">
        <v>1098</v>
      </c>
      <c r="B806" s="2">
        <v>45001</v>
      </c>
      <c r="C806" s="1" t="s">
        <v>22</v>
      </c>
      <c r="D806" s="1" t="s">
        <v>50</v>
      </c>
      <c r="E806" s="1">
        <v>6780.38</v>
      </c>
      <c r="F806" s="1">
        <v>11</v>
      </c>
      <c r="G806" s="1" t="s">
        <v>16</v>
      </c>
      <c r="H806" s="1">
        <v>741.48</v>
      </c>
      <c r="I806" s="1">
        <v>878.09</v>
      </c>
      <c r="J806" s="1" t="s">
        <v>27</v>
      </c>
      <c r="K806" s="1">
        <v>0.28999999999999998</v>
      </c>
      <c r="L806" s="1" t="s">
        <v>18</v>
      </c>
      <c r="M806" s="1" t="s">
        <v>21</v>
      </c>
      <c r="N806" s="1">
        <f>SUM(Table3[[#This Row],[Unit_Price]]-Table3[[#This Row],[Unit_Cost]])</f>
        <v>136.61000000000001</v>
      </c>
      <c r="O806" s="7"/>
      <c r="P806" s="7"/>
      <c r="Q806" s="7"/>
      <c r="S806"/>
    </row>
    <row r="807" spans="1:19" x14ac:dyDescent="0.3">
      <c r="A807" s="1">
        <v>1099</v>
      </c>
      <c r="B807" s="2">
        <v>45214</v>
      </c>
      <c r="C807" s="1" t="s">
        <v>22</v>
      </c>
      <c r="D807" s="1" t="s">
        <v>44</v>
      </c>
      <c r="E807" s="1">
        <v>6807.56</v>
      </c>
      <c r="F807" s="1">
        <v>39</v>
      </c>
      <c r="G807" s="1" t="s">
        <v>31</v>
      </c>
      <c r="H807" s="1">
        <v>3592.89</v>
      </c>
      <c r="I807" s="1">
        <v>4004</v>
      </c>
      <c r="J807" s="1" t="s">
        <v>27</v>
      </c>
      <c r="K807" s="1">
        <v>0.13</v>
      </c>
      <c r="L807" s="1" t="s">
        <v>18</v>
      </c>
      <c r="M807" s="1" t="s">
        <v>19</v>
      </c>
      <c r="N807" s="1">
        <f>SUM(Table3[[#This Row],[Unit_Price]]-Table3[[#This Row],[Unit_Cost]])</f>
        <v>411.11000000000013</v>
      </c>
      <c r="O807" s="7"/>
      <c r="P807" s="7"/>
      <c r="Q807" s="7"/>
      <c r="S807"/>
    </row>
    <row r="808" spans="1:19" x14ac:dyDescent="0.3">
      <c r="A808" s="1">
        <v>1001</v>
      </c>
      <c r="B808" s="2">
        <v>45056</v>
      </c>
      <c r="C808" s="1" t="s">
        <v>22</v>
      </c>
      <c r="D808" s="1" t="s">
        <v>45</v>
      </c>
      <c r="E808" s="1">
        <v>3793.91</v>
      </c>
      <c r="F808" s="1">
        <v>47</v>
      </c>
      <c r="G808" s="1" t="s">
        <v>24</v>
      </c>
      <c r="H808" s="1">
        <v>4865.33</v>
      </c>
      <c r="I808" s="1">
        <v>5316.13</v>
      </c>
      <c r="J808" s="1" t="s">
        <v>27</v>
      </c>
      <c r="K808" s="1">
        <v>0.06</v>
      </c>
      <c r="L808" s="1" t="s">
        <v>25</v>
      </c>
      <c r="M808" s="1" t="s">
        <v>19</v>
      </c>
      <c r="N808" s="1">
        <f>SUM(Table3[[#This Row],[Unit_Price]]-Table3[[#This Row],[Unit_Cost]])</f>
        <v>450.80000000000018</v>
      </c>
      <c r="O808" s="7"/>
      <c r="P808" s="7"/>
      <c r="Q808" s="7"/>
      <c r="S808"/>
    </row>
    <row r="809" spans="1:19" x14ac:dyDescent="0.3">
      <c r="A809" s="1">
        <v>1021</v>
      </c>
      <c r="B809" s="2">
        <v>45101</v>
      </c>
      <c r="C809" s="1" t="s">
        <v>33</v>
      </c>
      <c r="D809" s="1" t="s">
        <v>46</v>
      </c>
      <c r="E809" s="1">
        <v>9422.75</v>
      </c>
      <c r="F809" s="1">
        <v>24</v>
      </c>
      <c r="G809" s="1" t="s">
        <v>31</v>
      </c>
      <c r="H809" s="1">
        <v>4916.17</v>
      </c>
      <c r="I809" s="1">
        <v>5309.32</v>
      </c>
      <c r="J809" s="1" t="s">
        <v>17</v>
      </c>
      <c r="K809" s="1">
        <v>0.19</v>
      </c>
      <c r="L809" s="1" t="s">
        <v>28</v>
      </c>
      <c r="M809" s="1" t="s">
        <v>19</v>
      </c>
      <c r="N809" s="1">
        <f>SUM(Table3[[#This Row],[Unit_Price]]-Table3[[#This Row],[Unit_Cost]])</f>
        <v>393.14999999999964</v>
      </c>
      <c r="O809" s="7"/>
      <c r="P809" s="7"/>
      <c r="Q809" s="7"/>
      <c r="S809"/>
    </row>
    <row r="810" spans="1:19" x14ac:dyDescent="0.3">
      <c r="A810" s="1">
        <v>1055</v>
      </c>
      <c r="B810" s="2">
        <v>45010</v>
      </c>
      <c r="C810" s="1" t="s">
        <v>22</v>
      </c>
      <c r="D810" s="1" t="s">
        <v>47</v>
      </c>
      <c r="E810" s="1">
        <v>1756.83</v>
      </c>
      <c r="F810" s="1">
        <v>11</v>
      </c>
      <c r="G810" s="1" t="s">
        <v>31</v>
      </c>
      <c r="H810" s="1">
        <v>2495.1999999999998</v>
      </c>
      <c r="I810" s="1">
        <v>2600.9299999999998</v>
      </c>
      <c r="J810" s="1" t="s">
        <v>27</v>
      </c>
      <c r="K810" s="1">
        <v>0.21</v>
      </c>
      <c r="L810" s="1" t="s">
        <v>25</v>
      </c>
      <c r="M810" s="1" t="s">
        <v>21</v>
      </c>
      <c r="N810" s="1">
        <f>SUM(Table3[[#This Row],[Unit_Price]]-Table3[[#This Row],[Unit_Cost]])</f>
        <v>105.73000000000002</v>
      </c>
      <c r="O810" s="7"/>
      <c r="P810" s="7"/>
      <c r="Q810" s="7"/>
      <c r="S810"/>
    </row>
    <row r="811" spans="1:19" x14ac:dyDescent="0.3">
      <c r="A811" s="1">
        <v>1006</v>
      </c>
      <c r="B811" s="2">
        <v>44948</v>
      </c>
      <c r="C811" s="1" t="s">
        <v>33</v>
      </c>
      <c r="D811" s="1" t="s">
        <v>48</v>
      </c>
      <c r="E811" s="1">
        <v>5053.5600000000004</v>
      </c>
      <c r="F811" s="1">
        <v>29</v>
      </c>
      <c r="G811" s="1" t="s">
        <v>31</v>
      </c>
      <c r="H811" s="1">
        <v>4353.29</v>
      </c>
      <c r="I811" s="1">
        <v>4405.8</v>
      </c>
      <c r="J811" s="1" t="s">
        <v>27</v>
      </c>
      <c r="K811" s="1">
        <v>0.04</v>
      </c>
      <c r="L811" s="1" t="s">
        <v>25</v>
      </c>
      <c r="M811" s="1" t="s">
        <v>19</v>
      </c>
      <c r="N811" s="1">
        <f>SUM(Table3[[#This Row],[Unit_Price]]-Table3[[#This Row],[Unit_Cost]])</f>
        <v>52.510000000000218</v>
      </c>
      <c r="O811" s="7"/>
      <c r="P811" s="7"/>
      <c r="Q811" s="7"/>
      <c r="S811"/>
    </row>
    <row r="812" spans="1:19" x14ac:dyDescent="0.3">
      <c r="A812" s="1">
        <v>1092</v>
      </c>
      <c r="B812" s="2">
        <v>44953</v>
      </c>
      <c r="C812" s="1" t="s">
        <v>22</v>
      </c>
      <c r="D812" s="1" t="s">
        <v>49</v>
      </c>
      <c r="E812" s="1">
        <v>6939.75</v>
      </c>
      <c r="F812" s="1">
        <v>26</v>
      </c>
      <c r="G812" s="1" t="s">
        <v>16</v>
      </c>
      <c r="H812" s="1">
        <v>3697.29</v>
      </c>
      <c r="I812" s="1">
        <v>4003.96</v>
      </c>
      <c r="J812" s="1" t="s">
        <v>27</v>
      </c>
      <c r="K812" s="1">
        <v>0.24</v>
      </c>
      <c r="L812" s="1" t="s">
        <v>18</v>
      </c>
      <c r="M812" s="1" t="s">
        <v>19</v>
      </c>
      <c r="N812" s="1">
        <f>SUM(Table3[[#This Row],[Unit_Price]]-Table3[[#This Row],[Unit_Cost]])</f>
        <v>306.67000000000007</v>
      </c>
      <c r="O812" s="7"/>
      <c r="P812" s="7"/>
      <c r="Q812" s="7"/>
      <c r="S812"/>
    </row>
    <row r="813" spans="1:19" x14ac:dyDescent="0.3">
      <c r="A813" s="1">
        <v>1081</v>
      </c>
      <c r="B813" s="2">
        <v>45121</v>
      </c>
      <c r="C813" s="1" t="s">
        <v>32</v>
      </c>
      <c r="D813" s="1" t="s">
        <v>50</v>
      </c>
      <c r="E813" s="1">
        <v>7001.64</v>
      </c>
      <c r="F813" s="1">
        <v>16</v>
      </c>
      <c r="G813" s="1" t="s">
        <v>26</v>
      </c>
      <c r="H813" s="1">
        <v>2530.15</v>
      </c>
      <c r="I813" s="1">
        <v>2568.13</v>
      </c>
      <c r="J813" s="1" t="s">
        <v>27</v>
      </c>
      <c r="K813" s="1">
        <v>0.01</v>
      </c>
      <c r="L813" s="1" t="s">
        <v>28</v>
      </c>
      <c r="M813" s="1" t="s">
        <v>19</v>
      </c>
      <c r="N813" s="1">
        <f>SUM(Table3[[#This Row],[Unit_Price]]-Table3[[#This Row],[Unit_Cost]])</f>
        <v>37.980000000000018</v>
      </c>
      <c r="O813" s="7"/>
      <c r="P813" s="7"/>
      <c r="Q813" s="7"/>
      <c r="S813"/>
    </row>
    <row r="814" spans="1:19" x14ac:dyDescent="0.3">
      <c r="A814" s="1">
        <v>1069</v>
      </c>
      <c r="B814" s="2">
        <v>45263</v>
      </c>
      <c r="C814" s="1" t="s">
        <v>22</v>
      </c>
      <c r="D814" s="1" t="s">
        <v>44</v>
      </c>
      <c r="E814" s="1">
        <v>6521.53</v>
      </c>
      <c r="F814" s="1">
        <v>35</v>
      </c>
      <c r="G814" s="1" t="s">
        <v>31</v>
      </c>
      <c r="H814" s="1">
        <v>2885.16</v>
      </c>
      <c r="I814" s="1">
        <v>3224.8399999999901</v>
      </c>
      <c r="J814" s="1" t="s">
        <v>27</v>
      </c>
      <c r="K814" s="1">
        <v>0.14000000000000001</v>
      </c>
      <c r="L814" s="1" t="s">
        <v>18</v>
      </c>
      <c r="M814" s="1" t="s">
        <v>19</v>
      </c>
      <c r="N814" s="1">
        <f>SUM(Table3[[#This Row],[Unit_Price]]-Table3[[#This Row],[Unit_Cost]])</f>
        <v>339.67999999999029</v>
      </c>
      <c r="O814" s="7"/>
      <c r="P814" s="7"/>
      <c r="Q814" s="7"/>
      <c r="S814"/>
    </row>
    <row r="815" spans="1:19" x14ac:dyDescent="0.3">
      <c r="A815" s="1">
        <v>1095</v>
      </c>
      <c r="B815" s="2">
        <v>45162</v>
      </c>
      <c r="C815" s="1" t="s">
        <v>14</v>
      </c>
      <c r="D815" s="1" t="s">
        <v>45</v>
      </c>
      <c r="E815" s="1">
        <v>2825.35</v>
      </c>
      <c r="F815" s="1">
        <v>20</v>
      </c>
      <c r="G815" s="1" t="s">
        <v>24</v>
      </c>
      <c r="H815" s="1">
        <v>729.27</v>
      </c>
      <c r="I815" s="1">
        <v>999.18</v>
      </c>
      <c r="J815" s="1" t="s">
        <v>27</v>
      </c>
      <c r="K815" s="1">
        <v>0.1</v>
      </c>
      <c r="L815" s="1" t="s">
        <v>25</v>
      </c>
      <c r="M815" s="1" t="s">
        <v>19</v>
      </c>
      <c r="N815" s="1">
        <f>SUM(Table3[[#This Row],[Unit_Price]]-Table3[[#This Row],[Unit_Cost]])</f>
        <v>269.90999999999997</v>
      </c>
      <c r="O815" s="7"/>
      <c r="P815" s="7"/>
      <c r="Q815" s="7"/>
      <c r="S815"/>
    </row>
    <row r="816" spans="1:19" x14ac:dyDescent="0.3">
      <c r="A816" s="1">
        <v>1005</v>
      </c>
      <c r="B816" s="2">
        <v>45018</v>
      </c>
      <c r="C816" s="1" t="s">
        <v>22</v>
      </c>
      <c r="D816" s="1" t="s">
        <v>46</v>
      </c>
      <c r="E816" s="1">
        <v>1646.45</v>
      </c>
      <c r="F816" s="1">
        <v>46</v>
      </c>
      <c r="G816" s="1" t="s">
        <v>16</v>
      </c>
      <c r="H816" s="1">
        <v>4691.42</v>
      </c>
      <c r="I816" s="1">
        <v>5026.1899999999996</v>
      </c>
      <c r="J816" s="1" t="s">
        <v>17</v>
      </c>
      <c r="K816" s="1">
        <v>0.22</v>
      </c>
      <c r="L816" s="1" t="s">
        <v>25</v>
      </c>
      <c r="M816" s="1" t="s">
        <v>21</v>
      </c>
      <c r="N816" s="1">
        <f>SUM(Table3[[#This Row],[Unit_Price]]-Table3[[#This Row],[Unit_Cost]])</f>
        <v>334.76999999999953</v>
      </c>
      <c r="O816" s="7"/>
      <c r="P816" s="7"/>
      <c r="Q816" s="7"/>
      <c r="S816"/>
    </row>
    <row r="817" spans="1:19" x14ac:dyDescent="0.3">
      <c r="A817" s="1">
        <v>1003</v>
      </c>
      <c r="B817" s="2">
        <v>44947</v>
      </c>
      <c r="C817" s="1" t="s">
        <v>29</v>
      </c>
      <c r="D817" s="1" t="s">
        <v>47</v>
      </c>
      <c r="E817" s="1">
        <v>6395.81</v>
      </c>
      <c r="F817" s="1">
        <v>3</v>
      </c>
      <c r="G817" s="1" t="s">
        <v>16</v>
      </c>
      <c r="H817" s="1">
        <v>1792.05</v>
      </c>
      <c r="I817" s="1">
        <v>2091.23</v>
      </c>
      <c r="J817" s="1" t="s">
        <v>17</v>
      </c>
      <c r="K817" s="1">
        <v>0.09</v>
      </c>
      <c r="L817" s="1" t="s">
        <v>18</v>
      </c>
      <c r="M817" s="1" t="s">
        <v>21</v>
      </c>
      <c r="N817" s="1">
        <f>SUM(Table3[[#This Row],[Unit_Price]]-Table3[[#This Row],[Unit_Cost]])</f>
        <v>299.18000000000006</v>
      </c>
      <c r="O817" s="7"/>
      <c r="P817" s="7"/>
      <c r="Q817" s="7"/>
      <c r="S817"/>
    </row>
    <row r="818" spans="1:19" x14ac:dyDescent="0.3">
      <c r="A818" s="1">
        <v>1053</v>
      </c>
      <c r="B818" s="2">
        <v>45229</v>
      </c>
      <c r="C818" s="1" t="s">
        <v>22</v>
      </c>
      <c r="D818" s="1" t="s">
        <v>48</v>
      </c>
      <c r="E818" s="1">
        <v>6033.09</v>
      </c>
      <c r="F818" s="1">
        <v>1</v>
      </c>
      <c r="G818" s="1" t="s">
        <v>24</v>
      </c>
      <c r="H818" s="1">
        <v>2258.44</v>
      </c>
      <c r="I818" s="1">
        <v>2475.56</v>
      </c>
      <c r="J818" s="1" t="s">
        <v>27</v>
      </c>
      <c r="K818" s="1">
        <v>0.25</v>
      </c>
      <c r="L818" s="1" t="s">
        <v>18</v>
      </c>
      <c r="M818" s="1" t="s">
        <v>19</v>
      </c>
      <c r="N818" s="1">
        <f>SUM(Table3[[#This Row],[Unit_Price]]-Table3[[#This Row],[Unit_Cost]])</f>
        <v>217.11999999999989</v>
      </c>
      <c r="O818" s="7"/>
      <c r="P818" s="7"/>
      <c r="Q818" s="7"/>
      <c r="S818"/>
    </row>
    <row r="819" spans="1:19" x14ac:dyDescent="0.3">
      <c r="A819" s="1">
        <v>1023</v>
      </c>
      <c r="B819" s="2">
        <v>45283</v>
      </c>
      <c r="C819" s="1" t="s">
        <v>14</v>
      </c>
      <c r="D819" s="1" t="s">
        <v>49</v>
      </c>
      <c r="E819" s="1">
        <v>1875.62</v>
      </c>
      <c r="F819" s="1">
        <v>47</v>
      </c>
      <c r="G819" s="1" t="s">
        <v>31</v>
      </c>
      <c r="H819" s="1">
        <v>3374.72</v>
      </c>
      <c r="I819" s="1">
        <v>3483.1499999999901</v>
      </c>
      <c r="J819" s="1" t="s">
        <v>17</v>
      </c>
      <c r="K819" s="1">
        <v>0.18</v>
      </c>
      <c r="L819" s="1" t="s">
        <v>18</v>
      </c>
      <c r="M819" s="1" t="s">
        <v>19</v>
      </c>
      <c r="N819" s="1">
        <f>SUM(Table3[[#This Row],[Unit_Price]]-Table3[[#This Row],[Unit_Cost]])</f>
        <v>108.42999999999029</v>
      </c>
      <c r="O819" s="7"/>
      <c r="P819" s="7"/>
      <c r="Q819" s="7"/>
      <c r="S819"/>
    </row>
    <row r="820" spans="1:19" x14ac:dyDescent="0.3">
      <c r="A820" s="1">
        <v>1053</v>
      </c>
      <c r="B820" s="2">
        <v>45010</v>
      </c>
      <c r="C820" s="1" t="s">
        <v>14</v>
      </c>
      <c r="D820" s="1" t="s">
        <v>50</v>
      </c>
      <c r="E820" s="1">
        <v>7080.88</v>
      </c>
      <c r="F820" s="1">
        <v>1</v>
      </c>
      <c r="G820" s="1" t="s">
        <v>26</v>
      </c>
      <c r="H820" s="1">
        <v>1702.82</v>
      </c>
      <c r="I820" s="1">
        <v>1862.61</v>
      </c>
      <c r="J820" s="1" t="s">
        <v>17</v>
      </c>
      <c r="K820" s="1">
        <v>0.24</v>
      </c>
      <c r="L820" s="1" t="s">
        <v>18</v>
      </c>
      <c r="M820" s="1" t="s">
        <v>21</v>
      </c>
      <c r="N820" s="1">
        <f>SUM(Table3[[#This Row],[Unit_Price]]-Table3[[#This Row],[Unit_Cost]])</f>
        <v>159.78999999999996</v>
      </c>
      <c r="O820" s="7"/>
      <c r="P820" s="7"/>
      <c r="Q820" s="7"/>
      <c r="S820"/>
    </row>
    <row r="821" spans="1:19" x14ac:dyDescent="0.3">
      <c r="A821" s="1">
        <v>1037</v>
      </c>
      <c r="B821" s="2">
        <v>45188</v>
      </c>
      <c r="C821" s="1" t="s">
        <v>33</v>
      </c>
      <c r="D821" s="1" t="s">
        <v>44</v>
      </c>
      <c r="E821" s="1">
        <v>4606.2</v>
      </c>
      <c r="F821" s="1">
        <v>17</v>
      </c>
      <c r="G821" s="1" t="s">
        <v>31</v>
      </c>
      <c r="H821" s="1">
        <v>1308.58</v>
      </c>
      <c r="I821" s="1">
        <v>1575.59</v>
      </c>
      <c r="J821" s="1" t="s">
        <v>27</v>
      </c>
      <c r="K821" s="1">
        <v>0.3</v>
      </c>
      <c r="L821" s="1" t="s">
        <v>18</v>
      </c>
      <c r="M821" s="1" t="s">
        <v>19</v>
      </c>
      <c r="N821" s="1">
        <f>SUM(Table3[[#This Row],[Unit_Price]]-Table3[[#This Row],[Unit_Cost]])</f>
        <v>267.01</v>
      </c>
      <c r="O821" s="7"/>
      <c r="P821" s="7"/>
      <c r="Q821" s="7"/>
      <c r="S821"/>
    </row>
    <row r="822" spans="1:19" x14ac:dyDescent="0.3">
      <c r="A822" s="1">
        <v>1074</v>
      </c>
      <c r="B822" s="2">
        <v>45073</v>
      </c>
      <c r="C822" s="1" t="s">
        <v>32</v>
      </c>
      <c r="D822" s="1" t="s">
        <v>45</v>
      </c>
      <c r="E822" s="1">
        <v>6710.83</v>
      </c>
      <c r="F822" s="1">
        <v>2</v>
      </c>
      <c r="G822" s="1" t="s">
        <v>24</v>
      </c>
      <c r="H822" s="1">
        <v>3173.69</v>
      </c>
      <c r="I822" s="1">
        <v>3503.11</v>
      </c>
      <c r="J822" s="1" t="s">
        <v>27</v>
      </c>
      <c r="K822" s="1">
        <v>0.2</v>
      </c>
      <c r="L822" s="1" t="s">
        <v>25</v>
      </c>
      <c r="M822" s="1" t="s">
        <v>21</v>
      </c>
      <c r="N822" s="1">
        <f>SUM(Table3[[#This Row],[Unit_Price]]-Table3[[#This Row],[Unit_Cost]])</f>
        <v>329.42000000000007</v>
      </c>
      <c r="O822" s="7"/>
      <c r="P822" s="7"/>
      <c r="Q822" s="7"/>
      <c r="S822"/>
    </row>
    <row r="823" spans="1:19" x14ac:dyDescent="0.3">
      <c r="A823" s="1">
        <v>1074</v>
      </c>
      <c r="B823" s="2">
        <v>45183</v>
      </c>
      <c r="C823" s="1" t="s">
        <v>22</v>
      </c>
      <c r="D823" s="1" t="s">
        <v>46</v>
      </c>
      <c r="E823" s="1">
        <v>8389.93</v>
      </c>
      <c r="F823" s="1">
        <v>29</v>
      </c>
      <c r="G823" s="1" t="s">
        <v>16</v>
      </c>
      <c r="H823" s="1">
        <v>173.67</v>
      </c>
      <c r="I823" s="1">
        <v>565.62</v>
      </c>
      <c r="J823" s="1" t="s">
        <v>17</v>
      </c>
      <c r="K823" s="1">
        <v>0.3</v>
      </c>
      <c r="L823" s="1" t="s">
        <v>18</v>
      </c>
      <c r="M823" s="1" t="s">
        <v>19</v>
      </c>
      <c r="N823" s="1">
        <f>SUM(Table3[[#This Row],[Unit_Price]]-Table3[[#This Row],[Unit_Cost]])</f>
        <v>391.95000000000005</v>
      </c>
      <c r="O823" s="7"/>
      <c r="P823" s="7"/>
      <c r="Q823" s="7"/>
      <c r="S823"/>
    </row>
    <row r="824" spans="1:19" x14ac:dyDescent="0.3">
      <c r="A824" s="1">
        <v>1083</v>
      </c>
      <c r="B824" s="2">
        <v>44984</v>
      </c>
      <c r="C824" s="1" t="s">
        <v>33</v>
      </c>
      <c r="D824" s="1" t="s">
        <v>47</v>
      </c>
      <c r="E824" s="1">
        <v>1780.31</v>
      </c>
      <c r="F824" s="1">
        <v>20</v>
      </c>
      <c r="G824" s="1" t="s">
        <v>26</v>
      </c>
      <c r="H824" s="1">
        <v>3617.59</v>
      </c>
      <c r="I824" s="1">
        <v>4003.5</v>
      </c>
      <c r="J824" s="1" t="s">
        <v>27</v>
      </c>
      <c r="K824" s="1">
        <v>0.01</v>
      </c>
      <c r="L824" s="1" t="s">
        <v>28</v>
      </c>
      <c r="M824" s="1" t="s">
        <v>21</v>
      </c>
      <c r="N824" s="1">
        <f>SUM(Table3[[#This Row],[Unit_Price]]-Table3[[#This Row],[Unit_Cost]])</f>
        <v>385.90999999999985</v>
      </c>
      <c r="O824" s="7"/>
      <c r="P824" s="7"/>
      <c r="Q824" s="7"/>
      <c r="S824"/>
    </row>
    <row r="825" spans="1:19" x14ac:dyDescent="0.3">
      <c r="A825" s="1">
        <v>1017</v>
      </c>
      <c r="B825" s="2">
        <v>44941</v>
      </c>
      <c r="C825" s="1" t="s">
        <v>32</v>
      </c>
      <c r="D825" s="1" t="s">
        <v>48</v>
      </c>
      <c r="E825" s="1">
        <v>289.52999999999997</v>
      </c>
      <c r="F825" s="1">
        <v>6</v>
      </c>
      <c r="G825" s="1" t="s">
        <v>16</v>
      </c>
      <c r="H825" s="1">
        <v>2594.42</v>
      </c>
      <c r="I825" s="1">
        <v>3081.04</v>
      </c>
      <c r="J825" s="1" t="s">
        <v>17</v>
      </c>
      <c r="K825" s="1">
        <v>0.1</v>
      </c>
      <c r="L825" s="1" t="s">
        <v>25</v>
      </c>
      <c r="M825" s="1" t="s">
        <v>21</v>
      </c>
      <c r="N825" s="1">
        <f>SUM(Table3[[#This Row],[Unit_Price]]-Table3[[#This Row],[Unit_Cost]])</f>
        <v>486.61999999999989</v>
      </c>
      <c r="O825" s="7"/>
      <c r="P825" s="7"/>
      <c r="Q825" s="7"/>
      <c r="S825"/>
    </row>
    <row r="826" spans="1:19" x14ac:dyDescent="0.3">
      <c r="A826" s="1">
        <v>1085</v>
      </c>
      <c r="B826" s="2">
        <v>45088</v>
      </c>
      <c r="C826" s="1" t="s">
        <v>22</v>
      </c>
      <c r="D826" s="1" t="s">
        <v>49</v>
      </c>
      <c r="E826" s="1">
        <v>7813.12</v>
      </c>
      <c r="F826" s="1">
        <v>8</v>
      </c>
      <c r="G826" s="1" t="s">
        <v>24</v>
      </c>
      <c r="H826" s="1">
        <v>3048.48</v>
      </c>
      <c r="I826" s="1">
        <v>3198.54</v>
      </c>
      <c r="J826" s="1" t="s">
        <v>17</v>
      </c>
      <c r="K826" s="1">
        <v>0.03</v>
      </c>
      <c r="L826" s="1" t="s">
        <v>25</v>
      </c>
      <c r="M826" s="1" t="s">
        <v>19</v>
      </c>
      <c r="N826" s="1">
        <f>SUM(Table3[[#This Row],[Unit_Price]]-Table3[[#This Row],[Unit_Cost]])</f>
        <v>150.05999999999995</v>
      </c>
      <c r="O826" s="7"/>
      <c r="P826" s="7"/>
      <c r="Q826" s="7"/>
      <c r="S826"/>
    </row>
    <row r="827" spans="1:19" x14ac:dyDescent="0.3">
      <c r="A827" s="1">
        <v>1078</v>
      </c>
      <c r="B827" s="2">
        <v>45089</v>
      </c>
      <c r="C827" s="1" t="s">
        <v>29</v>
      </c>
      <c r="D827" s="1" t="s">
        <v>50</v>
      </c>
      <c r="E827" s="1">
        <v>6136</v>
      </c>
      <c r="F827" s="1">
        <v>29</v>
      </c>
      <c r="G827" s="1" t="s">
        <v>31</v>
      </c>
      <c r="H827" s="1">
        <v>3177.81</v>
      </c>
      <c r="I827" s="1">
        <v>3222.65</v>
      </c>
      <c r="J827" s="1" t="s">
        <v>17</v>
      </c>
      <c r="K827" s="1">
        <v>0.08</v>
      </c>
      <c r="L827" s="1" t="s">
        <v>28</v>
      </c>
      <c r="M827" s="1" t="s">
        <v>21</v>
      </c>
      <c r="N827" s="1">
        <f>SUM(Table3[[#This Row],[Unit_Price]]-Table3[[#This Row],[Unit_Cost]])</f>
        <v>44.840000000000146</v>
      </c>
      <c r="O827" s="7"/>
      <c r="P827" s="7"/>
      <c r="Q827" s="7"/>
      <c r="S827"/>
    </row>
    <row r="828" spans="1:19" x14ac:dyDescent="0.3">
      <c r="A828" s="1">
        <v>1073</v>
      </c>
      <c r="B828" s="2">
        <v>45246</v>
      </c>
      <c r="C828" s="1" t="s">
        <v>22</v>
      </c>
      <c r="D828" s="1" t="s">
        <v>44</v>
      </c>
      <c r="E828" s="1">
        <v>7026.43</v>
      </c>
      <c r="F828" s="1">
        <v>48</v>
      </c>
      <c r="G828" s="1" t="s">
        <v>26</v>
      </c>
      <c r="H828" s="1">
        <v>2658.9</v>
      </c>
      <c r="I828" s="1">
        <v>2838.27</v>
      </c>
      <c r="J828" s="1" t="s">
        <v>27</v>
      </c>
      <c r="K828" s="1">
        <v>0.25</v>
      </c>
      <c r="L828" s="1" t="s">
        <v>28</v>
      </c>
      <c r="M828" s="1" t="s">
        <v>19</v>
      </c>
      <c r="N828" s="1">
        <f>SUM(Table3[[#This Row],[Unit_Price]]-Table3[[#This Row],[Unit_Cost]])</f>
        <v>179.36999999999989</v>
      </c>
      <c r="O828" s="7"/>
      <c r="P828" s="7"/>
      <c r="Q828" s="7"/>
      <c r="S828"/>
    </row>
    <row r="829" spans="1:19" x14ac:dyDescent="0.3">
      <c r="A829" s="1">
        <v>1001</v>
      </c>
      <c r="B829" s="2">
        <v>45207</v>
      </c>
      <c r="C829" s="1" t="s">
        <v>14</v>
      </c>
      <c r="D829" s="1" t="s">
        <v>45</v>
      </c>
      <c r="E829" s="1">
        <v>8397.73</v>
      </c>
      <c r="F829" s="1">
        <v>33</v>
      </c>
      <c r="G829" s="1" t="s">
        <v>16</v>
      </c>
      <c r="H829" s="1">
        <v>2933.54</v>
      </c>
      <c r="I829" s="1">
        <v>3307.75</v>
      </c>
      <c r="J829" s="1" t="s">
        <v>17</v>
      </c>
      <c r="K829" s="1">
        <v>0.01</v>
      </c>
      <c r="L829" s="1" t="s">
        <v>25</v>
      </c>
      <c r="M829" s="1" t="s">
        <v>21</v>
      </c>
      <c r="N829" s="1">
        <f>SUM(Table3[[#This Row],[Unit_Price]]-Table3[[#This Row],[Unit_Cost]])</f>
        <v>374.21000000000004</v>
      </c>
      <c r="O829" s="7"/>
      <c r="P829" s="7"/>
      <c r="Q829" s="7"/>
      <c r="S829"/>
    </row>
    <row r="830" spans="1:19" x14ac:dyDescent="0.3">
      <c r="A830" s="1">
        <v>1051</v>
      </c>
      <c r="B830" s="2">
        <v>45206</v>
      </c>
      <c r="C830" s="1" t="s">
        <v>14</v>
      </c>
      <c r="D830" s="1" t="s">
        <v>46</v>
      </c>
      <c r="E830" s="1">
        <v>8047.83</v>
      </c>
      <c r="F830" s="1">
        <v>3</v>
      </c>
      <c r="G830" s="1" t="s">
        <v>16</v>
      </c>
      <c r="H830" s="1">
        <v>3434.75</v>
      </c>
      <c r="I830" s="1">
        <v>3659.42</v>
      </c>
      <c r="J830" s="1" t="s">
        <v>27</v>
      </c>
      <c r="K830" s="1">
        <v>0.16</v>
      </c>
      <c r="L830" s="1" t="s">
        <v>18</v>
      </c>
      <c r="M830" s="1" t="s">
        <v>19</v>
      </c>
      <c r="N830" s="1">
        <f>SUM(Table3[[#This Row],[Unit_Price]]-Table3[[#This Row],[Unit_Cost]])</f>
        <v>224.67000000000007</v>
      </c>
      <c r="O830" s="7"/>
      <c r="P830" s="7"/>
      <c r="Q830" s="7"/>
      <c r="S830"/>
    </row>
    <row r="831" spans="1:19" x14ac:dyDescent="0.3">
      <c r="A831" s="1">
        <v>1045</v>
      </c>
      <c r="B831" s="2">
        <v>44938</v>
      </c>
      <c r="C831" s="1" t="s">
        <v>29</v>
      </c>
      <c r="D831" s="1" t="s">
        <v>47</v>
      </c>
      <c r="E831" s="1">
        <v>9613.11</v>
      </c>
      <c r="F831" s="1">
        <v>35</v>
      </c>
      <c r="G831" s="1" t="s">
        <v>16</v>
      </c>
      <c r="H831" s="1">
        <v>3777.94</v>
      </c>
      <c r="I831" s="1">
        <v>4188.66</v>
      </c>
      <c r="J831" s="1" t="s">
        <v>27</v>
      </c>
      <c r="K831" s="1">
        <v>0.17</v>
      </c>
      <c r="L831" s="1" t="s">
        <v>25</v>
      </c>
      <c r="M831" s="1" t="s">
        <v>19</v>
      </c>
      <c r="N831" s="1">
        <f>SUM(Table3[[#This Row],[Unit_Price]]-Table3[[#This Row],[Unit_Cost]])</f>
        <v>410.7199999999998</v>
      </c>
      <c r="O831" s="7"/>
      <c r="P831" s="7"/>
      <c r="Q831" s="7"/>
      <c r="S831"/>
    </row>
    <row r="832" spans="1:19" x14ac:dyDescent="0.3">
      <c r="A832" s="1">
        <v>1077</v>
      </c>
      <c r="B832" s="2">
        <v>45200</v>
      </c>
      <c r="C832" s="1" t="s">
        <v>33</v>
      </c>
      <c r="D832" s="1" t="s">
        <v>48</v>
      </c>
      <c r="E832" s="1">
        <v>5405.76</v>
      </c>
      <c r="F832" s="1">
        <v>5</v>
      </c>
      <c r="G832" s="1" t="s">
        <v>31</v>
      </c>
      <c r="H832" s="1">
        <v>3650.89</v>
      </c>
      <c r="I832" s="1">
        <v>3930.06</v>
      </c>
      <c r="J832" s="1" t="s">
        <v>27</v>
      </c>
      <c r="K832" s="1">
        <v>0.17</v>
      </c>
      <c r="L832" s="1" t="s">
        <v>25</v>
      </c>
      <c r="M832" s="1" t="s">
        <v>19</v>
      </c>
      <c r="N832" s="1">
        <f>SUM(Table3[[#This Row],[Unit_Price]]-Table3[[#This Row],[Unit_Cost]])</f>
        <v>279.17000000000007</v>
      </c>
      <c r="O832" s="7"/>
      <c r="P832" s="7"/>
      <c r="Q832" s="7"/>
      <c r="S832"/>
    </row>
    <row r="833" spans="1:19" x14ac:dyDescent="0.3">
      <c r="A833" s="1">
        <v>1004</v>
      </c>
      <c r="B833" s="2">
        <v>45197</v>
      </c>
      <c r="C833" s="1" t="s">
        <v>32</v>
      </c>
      <c r="D833" s="1" t="s">
        <v>49</v>
      </c>
      <c r="E833" s="1">
        <v>4936.1099999999997</v>
      </c>
      <c r="F833" s="1">
        <v>27</v>
      </c>
      <c r="G833" s="1" t="s">
        <v>26</v>
      </c>
      <c r="H833" s="1">
        <v>4354.6000000000004</v>
      </c>
      <c r="I833" s="1">
        <v>4820.2</v>
      </c>
      <c r="J833" s="1" t="s">
        <v>27</v>
      </c>
      <c r="K833" s="1">
        <v>0.14000000000000001</v>
      </c>
      <c r="L833" s="1" t="s">
        <v>28</v>
      </c>
      <c r="M833" s="1" t="s">
        <v>21</v>
      </c>
      <c r="N833" s="1">
        <f>SUM(Table3[[#This Row],[Unit_Price]]-Table3[[#This Row],[Unit_Cost]])</f>
        <v>465.59999999999945</v>
      </c>
      <c r="O833" s="7"/>
      <c r="P833" s="7"/>
      <c r="Q833" s="7"/>
      <c r="S833"/>
    </row>
    <row r="834" spans="1:19" x14ac:dyDescent="0.3">
      <c r="A834" s="1">
        <v>1062</v>
      </c>
      <c r="B834" s="2">
        <v>45134</v>
      </c>
      <c r="C834" s="1" t="s">
        <v>22</v>
      </c>
      <c r="D834" s="1" t="s">
        <v>50</v>
      </c>
      <c r="E834" s="1">
        <v>4078.68</v>
      </c>
      <c r="F834" s="1">
        <v>44</v>
      </c>
      <c r="G834" s="1" t="s">
        <v>31</v>
      </c>
      <c r="H834" s="1">
        <v>987.74</v>
      </c>
      <c r="I834" s="1">
        <v>1462.19</v>
      </c>
      <c r="J834" s="1" t="s">
        <v>27</v>
      </c>
      <c r="K834" s="1">
        <v>0.24</v>
      </c>
      <c r="L834" s="1" t="s">
        <v>25</v>
      </c>
      <c r="M834" s="1" t="s">
        <v>19</v>
      </c>
      <c r="N834" s="1">
        <f>SUM(Table3[[#This Row],[Unit_Price]]-Table3[[#This Row],[Unit_Cost]])</f>
        <v>474.45000000000005</v>
      </c>
      <c r="O834" s="7"/>
      <c r="P834" s="7"/>
      <c r="Q834" s="7"/>
      <c r="S834"/>
    </row>
    <row r="835" spans="1:19" x14ac:dyDescent="0.3">
      <c r="A835" s="1">
        <v>1065</v>
      </c>
      <c r="B835" s="2">
        <v>44953</v>
      </c>
      <c r="C835" s="1" t="s">
        <v>14</v>
      </c>
      <c r="D835" s="1" t="s">
        <v>44</v>
      </c>
      <c r="E835" s="1">
        <v>1621.54</v>
      </c>
      <c r="F835" s="1">
        <v>12</v>
      </c>
      <c r="G835" s="1" t="s">
        <v>31</v>
      </c>
      <c r="H835" s="1">
        <v>2035.68</v>
      </c>
      <c r="I835" s="1">
        <v>2079.64</v>
      </c>
      <c r="J835" s="1" t="s">
        <v>17</v>
      </c>
      <c r="K835" s="1">
        <v>0.04</v>
      </c>
      <c r="L835" s="1" t="s">
        <v>18</v>
      </c>
      <c r="M835" s="1" t="s">
        <v>19</v>
      </c>
      <c r="N835" s="1">
        <f>SUM(Table3[[#This Row],[Unit_Price]]-Table3[[#This Row],[Unit_Cost]])</f>
        <v>43.959999999999809</v>
      </c>
      <c r="O835" s="7"/>
      <c r="P835" s="7"/>
      <c r="Q835" s="7"/>
      <c r="S835"/>
    </row>
    <row r="836" spans="1:19" x14ac:dyDescent="0.3">
      <c r="A836" s="1">
        <v>1032</v>
      </c>
      <c r="B836" s="2">
        <v>44998</v>
      </c>
      <c r="C836" s="1" t="s">
        <v>33</v>
      </c>
      <c r="D836" s="1" t="s">
        <v>45</v>
      </c>
      <c r="E836" s="1">
        <v>5768.81</v>
      </c>
      <c r="F836" s="1">
        <v>20</v>
      </c>
      <c r="G836" s="1" t="s">
        <v>31</v>
      </c>
      <c r="H836" s="1">
        <v>4741.59</v>
      </c>
      <c r="I836" s="1">
        <v>4975.2299999999996</v>
      </c>
      <c r="J836" s="1" t="s">
        <v>27</v>
      </c>
      <c r="K836" s="1">
        <v>0.09</v>
      </c>
      <c r="L836" s="1" t="s">
        <v>28</v>
      </c>
      <c r="M836" s="1" t="s">
        <v>19</v>
      </c>
      <c r="N836" s="1">
        <f>SUM(Table3[[#This Row],[Unit_Price]]-Table3[[#This Row],[Unit_Cost]])</f>
        <v>233.63999999999942</v>
      </c>
      <c r="O836" s="7"/>
      <c r="P836" s="7"/>
      <c r="Q836" s="7"/>
      <c r="S836"/>
    </row>
    <row r="837" spans="1:19" x14ac:dyDescent="0.3">
      <c r="A837" s="1">
        <v>1034</v>
      </c>
      <c r="B837" s="2">
        <v>44986</v>
      </c>
      <c r="C837" s="1" t="s">
        <v>29</v>
      </c>
      <c r="D837" s="1" t="s">
        <v>46</v>
      </c>
      <c r="E837" s="1">
        <v>2842.42</v>
      </c>
      <c r="F837" s="1">
        <v>45</v>
      </c>
      <c r="G837" s="1" t="s">
        <v>24</v>
      </c>
      <c r="H837" s="1">
        <v>2013.12</v>
      </c>
      <c r="I837" s="1">
        <v>2321.87</v>
      </c>
      <c r="J837" s="1" t="s">
        <v>27</v>
      </c>
      <c r="K837" s="1">
        <v>0.18</v>
      </c>
      <c r="L837" s="1" t="s">
        <v>25</v>
      </c>
      <c r="M837" s="1" t="s">
        <v>21</v>
      </c>
      <c r="N837" s="1">
        <f>SUM(Table3[[#This Row],[Unit_Price]]-Table3[[#This Row],[Unit_Cost]])</f>
        <v>308.75</v>
      </c>
      <c r="O837" s="7"/>
      <c r="P837" s="7"/>
      <c r="Q837" s="7"/>
      <c r="S837"/>
    </row>
    <row r="838" spans="1:19" x14ac:dyDescent="0.3">
      <c r="A838" s="1">
        <v>1092</v>
      </c>
      <c r="B838" s="2">
        <v>45071</v>
      </c>
      <c r="C838" s="1" t="s">
        <v>14</v>
      </c>
      <c r="D838" s="1" t="s">
        <v>47</v>
      </c>
      <c r="E838" s="1">
        <v>9220.94</v>
      </c>
      <c r="F838" s="1">
        <v>20</v>
      </c>
      <c r="G838" s="1" t="s">
        <v>24</v>
      </c>
      <c r="H838" s="1">
        <v>668.11</v>
      </c>
      <c r="I838" s="1">
        <v>803.49</v>
      </c>
      <c r="J838" s="1" t="s">
        <v>27</v>
      </c>
      <c r="K838" s="1">
        <v>0.21</v>
      </c>
      <c r="L838" s="1" t="s">
        <v>25</v>
      </c>
      <c r="M838" s="1" t="s">
        <v>19</v>
      </c>
      <c r="N838" s="1">
        <f>SUM(Table3[[#This Row],[Unit_Price]]-Table3[[#This Row],[Unit_Cost]])</f>
        <v>135.38</v>
      </c>
      <c r="O838" s="7"/>
      <c r="P838" s="7"/>
      <c r="Q838" s="7"/>
      <c r="S838"/>
    </row>
    <row r="839" spans="1:19" x14ac:dyDescent="0.3">
      <c r="A839" s="1">
        <v>1095</v>
      </c>
      <c r="B839" s="2">
        <v>45019</v>
      </c>
      <c r="C839" s="1" t="s">
        <v>29</v>
      </c>
      <c r="D839" s="1" t="s">
        <v>48</v>
      </c>
      <c r="E839" s="1">
        <v>5873.59</v>
      </c>
      <c r="F839" s="1">
        <v>9</v>
      </c>
      <c r="G839" s="1" t="s">
        <v>24</v>
      </c>
      <c r="H839" s="1">
        <v>2650.95</v>
      </c>
      <c r="I839" s="1">
        <v>2860.4199999999901</v>
      </c>
      <c r="J839" s="1" t="s">
        <v>27</v>
      </c>
      <c r="K839" s="1">
        <v>0.12</v>
      </c>
      <c r="L839" s="1" t="s">
        <v>18</v>
      </c>
      <c r="M839" s="1" t="s">
        <v>21</v>
      </c>
      <c r="N839" s="1">
        <f>SUM(Table3[[#This Row],[Unit_Price]]-Table3[[#This Row],[Unit_Cost]])</f>
        <v>209.46999999999025</v>
      </c>
      <c r="O839" s="7"/>
      <c r="P839" s="7"/>
      <c r="Q839" s="7"/>
      <c r="S839"/>
    </row>
    <row r="840" spans="1:19" x14ac:dyDescent="0.3">
      <c r="A840" s="1">
        <v>1072</v>
      </c>
      <c r="B840" s="2">
        <v>45235</v>
      </c>
      <c r="C840" s="1" t="s">
        <v>22</v>
      </c>
      <c r="D840" s="1" t="s">
        <v>49</v>
      </c>
      <c r="E840" s="1">
        <v>5969.12</v>
      </c>
      <c r="F840" s="1">
        <v>39</v>
      </c>
      <c r="G840" s="1" t="s">
        <v>26</v>
      </c>
      <c r="H840" s="1">
        <v>591.98</v>
      </c>
      <c r="I840" s="1">
        <v>934.04</v>
      </c>
      <c r="J840" s="1" t="s">
        <v>27</v>
      </c>
      <c r="K840" s="1">
        <v>0.26</v>
      </c>
      <c r="L840" s="1" t="s">
        <v>25</v>
      </c>
      <c r="M840" s="1" t="s">
        <v>21</v>
      </c>
      <c r="N840" s="1">
        <f>SUM(Table3[[#This Row],[Unit_Price]]-Table3[[#This Row],[Unit_Cost]])</f>
        <v>342.05999999999995</v>
      </c>
      <c r="O840" s="7"/>
      <c r="P840" s="7"/>
      <c r="Q840" s="7"/>
      <c r="S840"/>
    </row>
    <row r="841" spans="1:19" x14ac:dyDescent="0.3">
      <c r="A841" s="1">
        <v>1039</v>
      </c>
      <c r="B841" s="2">
        <v>44934</v>
      </c>
      <c r="C841" s="1" t="s">
        <v>32</v>
      </c>
      <c r="D841" s="1" t="s">
        <v>50</v>
      </c>
      <c r="E841" s="1">
        <v>3613.75</v>
      </c>
      <c r="F841" s="1">
        <v>4</v>
      </c>
      <c r="G841" s="1" t="s">
        <v>31</v>
      </c>
      <c r="H841" s="1">
        <v>1054.1199999999999</v>
      </c>
      <c r="I841" s="1">
        <v>1175.21999999999</v>
      </c>
      <c r="J841" s="1" t="s">
        <v>17</v>
      </c>
      <c r="K841" s="1">
        <v>0.12</v>
      </c>
      <c r="L841" s="1" t="s">
        <v>25</v>
      </c>
      <c r="M841" s="1" t="s">
        <v>21</v>
      </c>
      <c r="N841" s="1">
        <f>SUM(Table3[[#This Row],[Unit_Price]]-Table3[[#This Row],[Unit_Cost]])</f>
        <v>121.09999999999013</v>
      </c>
      <c r="O841" s="7"/>
      <c r="P841" s="7"/>
      <c r="Q841" s="7"/>
      <c r="S841"/>
    </row>
    <row r="842" spans="1:19" x14ac:dyDescent="0.3">
      <c r="A842" s="1">
        <v>1026</v>
      </c>
      <c r="B842" s="2">
        <v>45005</v>
      </c>
      <c r="C842" s="1" t="s">
        <v>14</v>
      </c>
      <c r="D842" s="1" t="s">
        <v>44</v>
      </c>
      <c r="E842" s="1">
        <v>614.69000000000005</v>
      </c>
      <c r="F842" s="1">
        <v>19</v>
      </c>
      <c r="G842" s="1" t="s">
        <v>31</v>
      </c>
      <c r="H842" s="1">
        <v>4991.68</v>
      </c>
      <c r="I842" s="1">
        <v>5296.65</v>
      </c>
      <c r="J842" s="1" t="s">
        <v>27</v>
      </c>
      <c r="K842" s="1">
        <v>0.12</v>
      </c>
      <c r="L842" s="1" t="s">
        <v>25</v>
      </c>
      <c r="M842" s="1" t="s">
        <v>19</v>
      </c>
      <c r="N842" s="1">
        <f>SUM(Table3[[#This Row],[Unit_Price]]-Table3[[#This Row],[Unit_Cost]])</f>
        <v>304.96999999999935</v>
      </c>
      <c r="O842" s="7"/>
      <c r="P842" s="7"/>
      <c r="Q842" s="7"/>
      <c r="S842"/>
    </row>
    <row r="843" spans="1:19" x14ac:dyDescent="0.3">
      <c r="A843" s="1">
        <v>1034</v>
      </c>
      <c r="B843" s="2">
        <v>44953</v>
      </c>
      <c r="C843" s="1" t="s">
        <v>14</v>
      </c>
      <c r="D843" s="1" t="s">
        <v>45</v>
      </c>
      <c r="E843" s="1">
        <v>414.26</v>
      </c>
      <c r="F843" s="1">
        <v>38</v>
      </c>
      <c r="G843" s="1" t="s">
        <v>24</v>
      </c>
      <c r="H843" s="1">
        <v>2729.75</v>
      </c>
      <c r="I843" s="1">
        <v>3081.5</v>
      </c>
      <c r="J843" s="1" t="s">
        <v>27</v>
      </c>
      <c r="K843" s="1">
        <v>0.01</v>
      </c>
      <c r="L843" s="1" t="s">
        <v>25</v>
      </c>
      <c r="M843" s="1" t="s">
        <v>19</v>
      </c>
      <c r="N843" s="1">
        <f>SUM(Table3[[#This Row],[Unit_Price]]-Table3[[#This Row],[Unit_Cost]])</f>
        <v>351.75</v>
      </c>
      <c r="O843" s="7"/>
      <c r="P843" s="7"/>
      <c r="Q843" s="7"/>
      <c r="S843"/>
    </row>
    <row r="844" spans="1:19" x14ac:dyDescent="0.3">
      <c r="A844" s="1">
        <v>1054</v>
      </c>
      <c r="B844" s="2">
        <v>45100</v>
      </c>
      <c r="C844" s="1" t="s">
        <v>22</v>
      </c>
      <c r="D844" s="1" t="s">
        <v>46</v>
      </c>
      <c r="E844" s="1">
        <v>4291.0200000000004</v>
      </c>
      <c r="F844" s="1">
        <v>27</v>
      </c>
      <c r="G844" s="1" t="s">
        <v>31</v>
      </c>
      <c r="H844" s="1">
        <v>1456.09</v>
      </c>
      <c r="I844" s="1">
        <v>1510.4299999999901</v>
      </c>
      <c r="J844" s="1" t="s">
        <v>17</v>
      </c>
      <c r="K844" s="1">
        <v>0.17</v>
      </c>
      <c r="L844" s="1" t="s">
        <v>18</v>
      </c>
      <c r="M844" s="1" t="s">
        <v>21</v>
      </c>
      <c r="N844" s="1">
        <f>SUM(Table3[[#This Row],[Unit_Price]]-Table3[[#This Row],[Unit_Cost]])</f>
        <v>54.339999999990141</v>
      </c>
      <c r="O844" s="7"/>
      <c r="P844" s="7"/>
      <c r="Q844" s="7"/>
      <c r="S844"/>
    </row>
    <row r="845" spans="1:19" x14ac:dyDescent="0.3">
      <c r="A845" s="1">
        <v>1003</v>
      </c>
      <c r="B845" s="2">
        <v>44976</v>
      </c>
      <c r="C845" s="1" t="s">
        <v>33</v>
      </c>
      <c r="D845" s="1" t="s">
        <v>47</v>
      </c>
      <c r="E845" s="1">
        <v>937.2</v>
      </c>
      <c r="F845" s="1">
        <v>45</v>
      </c>
      <c r="G845" s="1" t="s">
        <v>31</v>
      </c>
      <c r="H845" s="1">
        <v>4974.1400000000003</v>
      </c>
      <c r="I845" s="1">
        <v>5227.93</v>
      </c>
      <c r="J845" s="1" t="s">
        <v>27</v>
      </c>
      <c r="K845" s="1">
        <v>0.21</v>
      </c>
      <c r="L845" s="1" t="s">
        <v>25</v>
      </c>
      <c r="M845" s="1" t="s">
        <v>19</v>
      </c>
      <c r="N845" s="1">
        <f>SUM(Table3[[#This Row],[Unit_Price]]-Table3[[#This Row],[Unit_Cost]])</f>
        <v>253.78999999999996</v>
      </c>
      <c r="O845" s="7"/>
      <c r="P845" s="7"/>
      <c r="Q845" s="7"/>
      <c r="S845"/>
    </row>
    <row r="846" spans="1:19" x14ac:dyDescent="0.3">
      <c r="A846" s="1">
        <v>1050</v>
      </c>
      <c r="B846" s="2">
        <v>45125</v>
      </c>
      <c r="C846" s="1" t="s">
        <v>32</v>
      </c>
      <c r="D846" s="1" t="s">
        <v>48</v>
      </c>
      <c r="E846" s="1">
        <v>6107.78</v>
      </c>
      <c r="F846" s="1">
        <v>43</v>
      </c>
      <c r="G846" s="1" t="s">
        <v>16</v>
      </c>
      <c r="H846" s="1">
        <v>4834.47</v>
      </c>
      <c r="I846" s="1">
        <v>4973.38</v>
      </c>
      <c r="J846" s="1" t="s">
        <v>17</v>
      </c>
      <c r="K846" s="1">
        <v>0.03</v>
      </c>
      <c r="L846" s="1" t="s">
        <v>25</v>
      </c>
      <c r="M846" s="1" t="s">
        <v>19</v>
      </c>
      <c r="N846" s="1">
        <f>SUM(Table3[[#This Row],[Unit_Price]]-Table3[[#This Row],[Unit_Cost]])</f>
        <v>138.90999999999985</v>
      </c>
      <c r="O846" s="7"/>
      <c r="P846" s="7"/>
      <c r="Q846" s="7"/>
      <c r="S846"/>
    </row>
    <row r="847" spans="1:19" x14ac:dyDescent="0.3">
      <c r="A847" s="1">
        <v>1012</v>
      </c>
      <c r="B847" s="2">
        <v>45275</v>
      </c>
      <c r="C847" s="1" t="s">
        <v>14</v>
      </c>
      <c r="D847" s="1" t="s">
        <v>49</v>
      </c>
      <c r="E847" s="1">
        <v>8821.6299999999992</v>
      </c>
      <c r="F847" s="1">
        <v>13</v>
      </c>
      <c r="G847" s="1" t="s">
        <v>31</v>
      </c>
      <c r="H847" s="1">
        <v>2231.66</v>
      </c>
      <c r="I847" s="1">
        <v>2596.6099999999901</v>
      </c>
      <c r="J847" s="1" t="s">
        <v>17</v>
      </c>
      <c r="K847" s="1">
        <v>0.09</v>
      </c>
      <c r="L847" s="1" t="s">
        <v>25</v>
      </c>
      <c r="M847" s="1" t="s">
        <v>21</v>
      </c>
      <c r="N847" s="1">
        <f>SUM(Table3[[#This Row],[Unit_Price]]-Table3[[#This Row],[Unit_Cost]])</f>
        <v>364.94999999999027</v>
      </c>
      <c r="O847" s="7"/>
      <c r="P847" s="7"/>
      <c r="Q847" s="7"/>
      <c r="S847"/>
    </row>
    <row r="848" spans="1:19" x14ac:dyDescent="0.3">
      <c r="A848" s="1">
        <v>1065</v>
      </c>
      <c r="B848" s="2">
        <v>45107</v>
      </c>
      <c r="C848" s="1" t="s">
        <v>32</v>
      </c>
      <c r="D848" s="1" t="s">
        <v>50</v>
      </c>
      <c r="E848" s="1">
        <v>8840.86</v>
      </c>
      <c r="F848" s="1">
        <v>13</v>
      </c>
      <c r="G848" s="1" t="s">
        <v>16</v>
      </c>
      <c r="H848" s="1">
        <v>1339</v>
      </c>
      <c r="I848" s="1">
        <v>1441.88</v>
      </c>
      <c r="J848" s="1" t="s">
        <v>17</v>
      </c>
      <c r="K848" s="1">
        <v>0.23</v>
      </c>
      <c r="L848" s="1" t="s">
        <v>28</v>
      </c>
      <c r="M848" s="1" t="s">
        <v>21</v>
      </c>
      <c r="N848" s="1">
        <f>SUM(Table3[[#This Row],[Unit_Price]]-Table3[[#This Row],[Unit_Cost]])</f>
        <v>102.88000000000011</v>
      </c>
      <c r="O848" s="7"/>
      <c r="P848" s="7"/>
      <c r="Q848" s="7"/>
      <c r="S848"/>
    </row>
    <row r="849" spans="1:19" x14ac:dyDescent="0.3">
      <c r="A849" s="1">
        <v>1054</v>
      </c>
      <c r="B849" s="2">
        <v>44950</v>
      </c>
      <c r="C849" s="1" t="s">
        <v>14</v>
      </c>
      <c r="D849" s="1" t="s">
        <v>44</v>
      </c>
      <c r="E849" s="1">
        <v>6624.55</v>
      </c>
      <c r="F849" s="1">
        <v>22</v>
      </c>
      <c r="G849" s="1" t="s">
        <v>31</v>
      </c>
      <c r="H849" s="1">
        <v>4200.08</v>
      </c>
      <c r="I849" s="1">
        <v>4647.28</v>
      </c>
      <c r="J849" s="1" t="s">
        <v>17</v>
      </c>
      <c r="K849" s="1">
        <v>0.11</v>
      </c>
      <c r="L849" s="1" t="s">
        <v>18</v>
      </c>
      <c r="M849" s="1" t="s">
        <v>19</v>
      </c>
      <c r="N849" s="1">
        <f>SUM(Table3[[#This Row],[Unit_Price]]-Table3[[#This Row],[Unit_Cost]])</f>
        <v>447.19999999999982</v>
      </c>
      <c r="O849" s="7"/>
      <c r="P849" s="7"/>
      <c r="Q849" s="7"/>
      <c r="S849"/>
    </row>
    <row r="850" spans="1:19" x14ac:dyDescent="0.3">
      <c r="A850" s="1">
        <v>1005</v>
      </c>
      <c r="B850" s="2">
        <v>45242</v>
      </c>
      <c r="C850" s="1" t="s">
        <v>32</v>
      </c>
      <c r="D850" s="1" t="s">
        <v>45</v>
      </c>
      <c r="E850" s="1">
        <v>2191.1999999999998</v>
      </c>
      <c r="F850" s="1">
        <v>28</v>
      </c>
      <c r="G850" s="1" t="s">
        <v>26</v>
      </c>
      <c r="H850" s="1">
        <v>3592.32</v>
      </c>
      <c r="I850" s="1">
        <v>3813.48</v>
      </c>
      <c r="J850" s="1" t="s">
        <v>27</v>
      </c>
      <c r="K850" s="1">
        <v>7.0000000000000007E-2</v>
      </c>
      <c r="L850" s="1" t="s">
        <v>28</v>
      </c>
      <c r="M850" s="1" t="s">
        <v>21</v>
      </c>
      <c r="N850" s="1">
        <f>SUM(Table3[[#This Row],[Unit_Price]]-Table3[[#This Row],[Unit_Cost]])</f>
        <v>221.15999999999985</v>
      </c>
      <c r="O850" s="7"/>
      <c r="P850" s="7"/>
      <c r="Q850" s="7"/>
      <c r="S850"/>
    </row>
    <row r="851" spans="1:19" x14ac:dyDescent="0.3">
      <c r="A851" s="1">
        <v>1094</v>
      </c>
      <c r="B851" s="2">
        <v>44972</v>
      </c>
      <c r="C851" s="1" t="s">
        <v>29</v>
      </c>
      <c r="D851" s="1" t="s">
        <v>46</v>
      </c>
      <c r="E851" s="1">
        <v>8643.67</v>
      </c>
      <c r="F851" s="1">
        <v>47</v>
      </c>
      <c r="G851" s="1" t="s">
        <v>24</v>
      </c>
      <c r="H851" s="1">
        <v>3450.36</v>
      </c>
      <c r="I851" s="1">
        <v>3557.38</v>
      </c>
      <c r="J851" s="1" t="s">
        <v>27</v>
      </c>
      <c r="K851" s="1">
        <v>0.2</v>
      </c>
      <c r="L851" s="1" t="s">
        <v>28</v>
      </c>
      <c r="M851" s="1" t="s">
        <v>19</v>
      </c>
      <c r="N851" s="1">
        <f>SUM(Table3[[#This Row],[Unit_Price]]-Table3[[#This Row],[Unit_Cost]])</f>
        <v>107.01999999999998</v>
      </c>
      <c r="O851" s="7"/>
      <c r="P851" s="7"/>
      <c r="Q851" s="7"/>
      <c r="S851"/>
    </row>
    <row r="852" spans="1:19" x14ac:dyDescent="0.3">
      <c r="A852" s="1">
        <v>1094</v>
      </c>
      <c r="B852" s="2">
        <v>44941</v>
      </c>
      <c r="C852" s="1" t="s">
        <v>14</v>
      </c>
      <c r="D852" s="1" t="s">
        <v>47</v>
      </c>
      <c r="E852" s="1">
        <v>8872.33</v>
      </c>
      <c r="F852" s="1">
        <v>45</v>
      </c>
      <c r="G852" s="1" t="s">
        <v>16</v>
      </c>
      <c r="H852" s="1">
        <v>4470.91</v>
      </c>
      <c r="I852" s="1">
        <v>4695.54</v>
      </c>
      <c r="J852" s="1" t="s">
        <v>17</v>
      </c>
      <c r="K852" s="1">
        <v>0.06</v>
      </c>
      <c r="L852" s="1" t="s">
        <v>18</v>
      </c>
      <c r="M852" s="1" t="s">
        <v>21</v>
      </c>
      <c r="N852" s="1">
        <f>SUM(Table3[[#This Row],[Unit_Price]]-Table3[[#This Row],[Unit_Cost]])</f>
        <v>224.63000000000011</v>
      </c>
      <c r="O852" s="7"/>
      <c r="P852" s="7"/>
      <c r="Q852" s="7"/>
      <c r="S852"/>
    </row>
    <row r="853" spans="1:19" x14ac:dyDescent="0.3">
      <c r="A853" s="1">
        <v>1057</v>
      </c>
      <c r="B853" s="2">
        <v>45079</v>
      </c>
      <c r="C853" s="1" t="s">
        <v>32</v>
      </c>
      <c r="D853" s="1" t="s">
        <v>48</v>
      </c>
      <c r="E853" s="1">
        <v>2046.87</v>
      </c>
      <c r="F853" s="1">
        <v>22</v>
      </c>
      <c r="G853" s="1" t="s">
        <v>24</v>
      </c>
      <c r="H853" s="1">
        <v>3462.61</v>
      </c>
      <c r="I853" s="1">
        <v>3672.89</v>
      </c>
      <c r="J853" s="1" t="s">
        <v>17</v>
      </c>
      <c r="K853" s="1">
        <v>0.27</v>
      </c>
      <c r="L853" s="1" t="s">
        <v>28</v>
      </c>
      <c r="M853" s="1" t="s">
        <v>19</v>
      </c>
      <c r="N853" s="1">
        <f>SUM(Table3[[#This Row],[Unit_Price]]-Table3[[#This Row],[Unit_Cost]])</f>
        <v>210.27999999999975</v>
      </c>
      <c r="O853" s="7"/>
      <c r="P853" s="7"/>
      <c r="Q853" s="7"/>
      <c r="S853"/>
    </row>
    <row r="854" spans="1:19" x14ac:dyDescent="0.3">
      <c r="A854" s="1">
        <v>1017</v>
      </c>
      <c r="B854" s="2">
        <v>45148</v>
      </c>
      <c r="C854" s="1" t="s">
        <v>33</v>
      </c>
      <c r="D854" s="1" t="s">
        <v>49</v>
      </c>
      <c r="E854" s="1">
        <v>7400.52</v>
      </c>
      <c r="F854" s="1">
        <v>43</v>
      </c>
      <c r="G854" s="1" t="s">
        <v>16</v>
      </c>
      <c r="H854" s="1">
        <v>1454.8</v>
      </c>
      <c r="I854" s="1">
        <v>1674.97</v>
      </c>
      <c r="J854" s="1" t="s">
        <v>27</v>
      </c>
      <c r="K854" s="1">
        <v>0.03</v>
      </c>
      <c r="L854" s="1" t="s">
        <v>28</v>
      </c>
      <c r="M854" s="1" t="s">
        <v>19</v>
      </c>
      <c r="N854" s="1">
        <f>SUM(Table3[[#This Row],[Unit_Price]]-Table3[[#This Row],[Unit_Cost]])</f>
        <v>220.17000000000007</v>
      </c>
      <c r="O854" s="7"/>
      <c r="P854" s="7"/>
      <c r="Q854" s="7"/>
      <c r="S854"/>
    </row>
    <row r="855" spans="1:19" x14ac:dyDescent="0.3">
      <c r="A855" s="1">
        <v>1047</v>
      </c>
      <c r="B855" s="2">
        <v>45132</v>
      </c>
      <c r="C855" s="1" t="s">
        <v>29</v>
      </c>
      <c r="D855" s="1" t="s">
        <v>50</v>
      </c>
      <c r="E855" s="1">
        <v>2936.54</v>
      </c>
      <c r="F855" s="1">
        <v>19</v>
      </c>
      <c r="G855" s="1" t="s">
        <v>16</v>
      </c>
      <c r="H855" s="1">
        <v>3484.62</v>
      </c>
      <c r="I855" s="1">
        <v>3781.5499999999902</v>
      </c>
      <c r="J855" s="1" t="s">
        <v>17</v>
      </c>
      <c r="K855" s="1">
        <v>0.21</v>
      </c>
      <c r="L855" s="1" t="s">
        <v>28</v>
      </c>
      <c r="M855" s="1" t="s">
        <v>21</v>
      </c>
      <c r="N855" s="1">
        <f>SUM(Table3[[#This Row],[Unit_Price]]-Table3[[#This Row],[Unit_Cost]])</f>
        <v>296.92999999999029</v>
      </c>
      <c r="O855" s="7"/>
      <c r="P855" s="7"/>
      <c r="Q855" s="7"/>
      <c r="S855"/>
    </row>
    <row r="856" spans="1:19" x14ac:dyDescent="0.3">
      <c r="A856" s="1">
        <v>1023</v>
      </c>
      <c r="B856" s="2">
        <v>45199</v>
      </c>
      <c r="C856" s="1" t="s">
        <v>29</v>
      </c>
      <c r="D856" s="1" t="s">
        <v>44</v>
      </c>
      <c r="E856" s="1">
        <v>8046.14</v>
      </c>
      <c r="F856" s="1">
        <v>8</v>
      </c>
      <c r="G856" s="1" t="s">
        <v>16</v>
      </c>
      <c r="H856" s="1">
        <v>1563.78</v>
      </c>
      <c r="I856" s="1">
        <v>1829.1599999999901</v>
      </c>
      <c r="J856" s="1" t="s">
        <v>17</v>
      </c>
      <c r="K856" s="1">
        <v>0.15</v>
      </c>
      <c r="L856" s="1" t="s">
        <v>18</v>
      </c>
      <c r="M856" s="1" t="s">
        <v>19</v>
      </c>
      <c r="N856" s="1">
        <f>SUM(Table3[[#This Row],[Unit_Price]]-Table3[[#This Row],[Unit_Cost]])</f>
        <v>265.3799999999901</v>
      </c>
      <c r="O856" s="7"/>
      <c r="P856" s="7"/>
      <c r="Q856" s="7"/>
      <c r="S856"/>
    </row>
    <row r="857" spans="1:19" x14ac:dyDescent="0.3">
      <c r="A857" s="1">
        <v>1079</v>
      </c>
      <c r="B857" s="2">
        <v>45162</v>
      </c>
      <c r="C857" s="1" t="s">
        <v>33</v>
      </c>
      <c r="D857" s="1" t="s">
        <v>45</v>
      </c>
      <c r="E857" s="1">
        <v>9972.66</v>
      </c>
      <c r="F857" s="1">
        <v>8</v>
      </c>
      <c r="G857" s="1" t="s">
        <v>26</v>
      </c>
      <c r="H857" s="1">
        <v>3808.23</v>
      </c>
      <c r="I857" s="1">
        <v>3891.62</v>
      </c>
      <c r="J857" s="1" t="s">
        <v>17</v>
      </c>
      <c r="K857" s="1">
        <v>0.26</v>
      </c>
      <c r="L857" s="1" t="s">
        <v>25</v>
      </c>
      <c r="M857" s="1" t="s">
        <v>19</v>
      </c>
      <c r="N857" s="1">
        <f>SUM(Table3[[#This Row],[Unit_Price]]-Table3[[#This Row],[Unit_Cost]])</f>
        <v>83.389999999999873</v>
      </c>
      <c r="O857" s="7"/>
      <c r="P857" s="7"/>
      <c r="Q857" s="7"/>
      <c r="S857"/>
    </row>
    <row r="858" spans="1:19" x14ac:dyDescent="0.3">
      <c r="A858" s="1">
        <v>1085</v>
      </c>
      <c r="B858" s="2">
        <v>45266</v>
      </c>
      <c r="C858" s="1" t="s">
        <v>32</v>
      </c>
      <c r="D858" s="1" t="s">
        <v>46</v>
      </c>
      <c r="E858" s="1">
        <v>397.26</v>
      </c>
      <c r="F858" s="1">
        <v>42</v>
      </c>
      <c r="G858" s="1" t="s">
        <v>31</v>
      </c>
      <c r="H858" s="1">
        <v>3117.75</v>
      </c>
      <c r="I858" s="1">
        <v>3159.88</v>
      </c>
      <c r="J858" s="1" t="s">
        <v>27</v>
      </c>
      <c r="K858" s="1">
        <v>0.04</v>
      </c>
      <c r="L858" s="1" t="s">
        <v>18</v>
      </c>
      <c r="M858" s="1" t="s">
        <v>21</v>
      </c>
      <c r="N858" s="1">
        <f>SUM(Table3[[#This Row],[Unit_Price]]-Table3[[#This Row],[Unit_Cost]])</f>
        <v>42.130000000000109</v>
      </c>
      <c r="O858" s="7"/>
      <c r="P858" s="7"/>
      <c r="Q858" s="7"/>
      <c r="S858"/>
    </row>
    <row r="859" spans="1:19" x14ac:dyDescent="0.3">
      <c r="A859" s="1">
        <v>1014</v>
      </c>
      <c r="B859" s="2">
        <v>45154</v>
      </c>
      <c r="C859" s="1" t="s">
        <v>22</v>
      </c>
      <c r="D859" s="1" t="s">
        <v>47</v>
      </c>
      <c r="E859" s="1">
        <v>8983.92</v>
      </c>
      <c r="F859" s="1">
        <v>26</v>
      </c>
      <c r="G859" s="1" t="s">
        <v>16</v>
      </c>
      <c r="H859" s="1">
        <v>433.19</v>
      </c>
      <c r="I859" s="1">
        <v>800.6</v>
      </c>
      <c r="J859" s="1" t="s">
        <v>17</v>
      </c>
      <c r="K859" s="1">
        <v>0.2</v>
      </c>
      <c r="L859" s="1" t="s">
        <v>18</v>
      </c>
      <c r="M859" s="1" t="s">
        <v>19</v>
      </c>
      <c r="N859" s="1">
        <f>SUM(Table3[[#This Row],[Unit_Price]]-Table3[[#This Row],[Unit_Cost]])</f>
        <v>367.41</v>
      </c>
      <c r="O859" s="7"/>
      <c r="P859" s="7"/>
      <c r="Q859" s="7"/>
      <c r="S859"/>
    </row>
    <row r="860" spans="1:19" x14ac:dyDescent="0.3">
      <c r="A860" s="1">
        <v>1066</v>
      </c>
      <c r="B860" s="2">
        <v>44935</v>
      </c>
      <c r="C860" s="1" t="s">
        <v>33</v>
      </c>
      <c r="D860" s="1" t="s">
        <v>48</v>
      </c>
      <c r="E860" s="1">
        <v>6264.04</v>
      </c>
      <c r="F860" s="1">
        <v>48</v>
      </c>
      <c r="G860" s="1" t="s">
        <v>26</v>
      </c>
      <c r="H860" s="1">
        <v>2588.54</v>
      </c>
      <c r="I860" s="1">
        <v>2872.8</v>
      </c>
      <c r="J860" s="1" t="s">
        <v>27</v>
      </c>
      <c r="K860" s="1">
        <v>0.17</v>
      </c>
      <c r="L860" s="1" t="s">
        <v>18</v>
      </c>
      <c r="M860" s="1" t="s">
        <v>19</v>
      </c>
      <c r="N860" s="1">
        <f>SUM(Table3[[#This Row],[Unit_Price]]-Table3[[#This Row],[Unit_Cost]])</f>
        <v>284.26000000000022</v>
      </c>
      <c r="O860" s="7"/>
      <c r="P860" s="7"/>
      <c r="Q860" s="7"/>
      <c r="S860"/>
    </row>
    <row r="861" spans="1:19" x14ac:dyDescent="0.3">
      <c r="A861" s="1">
        <v>1075</v>
      </c>
      <c r="B861" s="2">
        <v>45092</v>
      </c>
      <c r="C861" s="1" t="s">
        <v>32</v>
      </c>
      <c r="D861" s="1" t="s">
        <v>49</v>
      </c>
      <c r="E861" s="1">
        <v>9736.49</v>
      </c>
      <c r="F861" s="1">
        <v>26</v>
      </c>
      <c r="G861" s="1" t="s">
        <v>16</v>
      </c>
      <c r="H861" s="1">
        <v>1749.34</v>
      </c>
      <c r="I861" s="1">
        <v>1935.25</v>
      </c>
      <c r="J861" s="1" t="s">
        <v>27</v>
      </c>
      <c r="K861" s="1">
        <v>0.14000000000000001</v>
      </c>
      <c r="L861" s="1" t="s">
        <v>28</v>
      </c>
      <c r="M861" s="1" t="s">
        <v>19</v>
      </c>
      <c r="N861" s="1">
        <f>SUM(Table3[[#This Row],[Unit_Price]]-Table3[[#This Row],[Unit_Cost]])</f>
        <v>185.91000000000008</v>
      </c>
      <c r="O861" s="7"/>
      <c r="P861" s="7"/>
      <c r="Q861" s="7"/>
      <c r="S861"/>
    </row>
    <row r="862" spans="1:19" x14ac:dyDescent="0.3">
      <c r="A862" s="1">
        <v>1051</v>
      </c>
      <c r="B862" s="2">
        <v>45245</v>
      </c>
      <c r="C862" s="1" t="s">
        <v>33</v>
      </c>
      <c r="D862" s="1" t="s">
        <v>50</v>
      </c>
      <c r="E862" s="1">
        <v>4703.59</v>
      </c>
      <c r="F862" s="1">
        <v>23</v>
      </c>
      <c r="G862" s="1" t="s">
        <v>31</v>
      </c>
      <c r="H862" s="1">
        <v>1676.42</v>
      </c>
      <c r="I862" s="1">
        <v>2082.52</v>
      </c>
      <c r="J862" s="1" t="s">
        <v>27</v>
      </c>
      <c r="K862" s="1">
        <v>0.15</v>
      </c>
      <c r="L862" s="1" t="s">
        <v>25</v>
      </c>
      <c r="M862" s="1" t="s">
        <v>21</v>
      </c>
      <c r="N862" s="1">
        <f>SUM(Table3[[#This Row],[Unit_Price]]-Table3[[#This Row],[Unit_Cost]])</f>
        <v>406.09999999999991</v>
      </c>
      <c r="O862" s="7"/>
      <c r="P862" s="7"/>
      <c r="Q862" s="7"/>
      <c r="S862"/>
    </row>
    <row r="863" spans="1:19" x14ac:dyDescent="0.3">
      <c r="A863" s="1">
        <v>1038</v>
      </c>
      <c r="B863" s="2">
        <v>45140</v>
      </c>
      <c r="C863" s="1" t="s">
        <v>33</v>
      </c>
      <c r="D863" s="1" t="s">
        <v>44</v>
      </c>
      <c r="E863" s="1">
        <v>8489.14</v>
      </c>
      <c r="F863" s="1">
        <v>43</v>
      </c>
      <c r="G863" s="1" t="s">
        <v>16</v>
      </c>
      <c r="H863" s="1">
        <v>3031.17</v>
      </c>
      <c r="I863" s="1">
        <v>3231.32</v>
      </c>
      <c r="J863" s="1" t="s">
        <v>17</v>
      </c>
      <c r="K863" s="1">
        <v>0.22</v>
      </c>
      <c r="L863" s="1" t="s">
        <v>18</v>
      </c>
      <c r="M863" s="1" t="s">
        <v>21</v>
      </c>
      <c r="N863" s="1">
        <f>SUM(Table3[[#This Row],[Unit_Price]]-Table3[[#This Row],[Unit_Cost]])</f>
        <v>200.15000000000009</v>
      </c>
      <c r="O863" s="7"/>
      <c r="P863" s="7"/>
      <c r="Q863" s="7"/>
      <c r="S863"/>
    </row>
    <row r="864" spans="1:19" x14ac:dyDescent="0.3">
      <c r="A864" s="1">
        <v>1064</v>
      </c>
      <c r="B864" s="2">
        <v>45043</v>
      </c>
      <c r="C864" s="1" t="s">
        <v>14</v>
      </c>
      <c r="D864" s="1" t="s">
        <v>45</v>
      </c>
      <c r="E864" s="1">
        <v>717.7</v>
      </c>
      <c r="F864" s="1">
        <v>13</v>
      </c>
      <c r="G864" s="1" t="s">
        <v>26</v>
      </c>
      <c r="H864" s="1">
        <v>1645.51</v>
      </c>
      <c r="I864" s="1">
        <v>2045.53</v>
      </c>
      <c r="J864" s="1" t="s">
        <v>17</v>
      </c>
      <c r="K864" s="1">
        <v>0.28000000000000003</v>
      </c>
      <c r="L864" s="1" t="s">
        <v>18</v>
      </c>
      <c r="M864" s="1" t="s">
        <v>21</v>
      </c>
      <c r="N864" s="1">
        <f>SUM(Table3[[#This Row],[Unit_Price]]-Table3[[#This Row],[Unit_Cost]])</f>
        <v>400.02</v>
      </c>
      <c r="O864" s="7"/>
      <c r="P864" s="7"/>
      <c r="Q864" s="7"/>
      <c r="S864"/>
    </row>
    <row r="865" spans="1:19" x14ac:dyDescent="0.3">
      <c r="A865" s="1">
        <v>1098</v>
      </c>
      <c r="B865" s="2">
        <v>45270</v>
      </c>
      <c r="C865" s="1" t="s">
        <v>32</v>
      </c>
      <c r="D865" s="1" t="s">
        <v>46</v>
      </c>
      <c r="E865" s="1">
        <v>3419.26</v>
      </c>
      <c r="F865" s="1">
        <v>28</v>
      </c>
      <c r="G865" s="1" t="s">
        <v>31</v>
      </c>
      <c r="H865" s="1">
        <v>3895.62</v>
      </c>
      <c r="I865" s="1">
        <v>4055.44</v>
      </c>
      <c r="J865" s="1" t="s">
        <v>27</v>
      </c>
      <c r="K865" s="1">
        <v>0.03</v>
      </c>
      <c r="L865" s="1" t="s">
        <v>25</v>
      </c>
      <c r="M865" s="1" t="s">
        <v>21</v>
      </c>
      <c r="N865" s="1">
        <f>SUM(Table3[[#This Row],[Unit_Price]]-Table3[[#This Row],[Unit_Cost]])</f>
        <v>159.82000000000016</v>
      </c>
      <c r="O865" s="7"/>
      <c r="P865" s="7"/>
      <c r="Q865" s="7"/>
      <c r="S865"/>
    </row>
    <row r="866" spans="1:19" x14ac:dyDescent="0.3">
      <c r="A866" s="1">
        <v>1038</v>
      </c>
      <c r="B866" s="2">
        <v>44998</v>
      </c>
      <c r="C866" s="1" t="s">
        <v>22</v>
      </c>
      <c r="D866" s="1" t="s">
        <v>47</v>
      </c>
      <c r="E866" s="1">
        <v>763.46</v>
      </c>
      <c r="F866" s="1">
        <v>9</v>
      </c>
      <c r="G866" s="1" t="s">
        <v>26</v>
      </c>
      <c r="H866" s="1">
        <v>400.42</v>
      </c>
      <c r="I866" s="1">
        <v>446.11</v>
      </c>
      <c r="J866" s="1" t="s">
        <v>27</v>
      </c>
      <c r="K866" s="1">
        <v>0.01</v>
      </c>
      <c r="L866" s="1" t="s">
        <v>25</v>
      </c>
      <c r="M866" s="1" t="s">
        <v>21</v>
      </c>
      <c r="N866" s="1">
        <f>SUM(Table3[[#This Row],[Unit_Price]]-Table3[[#This Row],[Unit_Cost]])</f>
        <v>45.69</v>
      </c>
      <c r="O866" s="7"/>
      <c r="P866" s="7"/>
      <c r="Q866" s="7"/>
      <c r="S866"/>
    </row>
    <row r="867" spans="1:19" x14ac:dyDescent="0.3">
      <c r="A867" s="1">
        <v>1050</v>
      </c>
      <c r="B867" s="2">
        <v>44990</v>
      </c>
      <c r="C867" s="1" t="s">
        <v>14</v>
      </c>
      <c r="D867" s="1" t="s">
        <v>48</v>
      </c>
      <c r="E867" s="1">
        <v>9755.9</v>
      </c>
      <c r="F867" s="1">
        <v>20</v>
      </c>
      <c r="G867" s="1" t="s">
        <v>31</v>
      </c>
      <c r="H867" s="1">
        <v>3318.92</v>
      </c>
      <c r="I867" s="1">
        <v>3785.91</v>
      </c>
      <c r="J867" s="1" t="s">
        <v>27</v>
      </c>
      <c r="K867" s="1">
        <v>0.24</v>
      </c>
      <c r="L867" s="1" t="s">
        <v>25</v>
      </c>
      <c r="M867" s="1" t="s">
        <v>19</v>
      </c>
      <c r="N867" s="1">
        <f>SUM(Table3[[#This Row],[Unit_Price]]-Table3[[#This Row],[Unit_Cost]])</f>
        <v>466.98999999999978</v>
      </c>
      <c r="O867" s="7"/>
      <c r="P867" s="7"/>
      <c r="Q867" s="7"/>
      <c r="S867"/>
    </row>
    <row r="868" spans="1:19" x14ac:dyDescent="0.3">
      <c r="A868" s="1">
        <v>1098</v>
      </c>
      <c r="B868" s="2">
        <v>45131</v>
      </c>
      <c r="C868" s="1" t="s">
        <v>33</v>
      </c>
      <c r="D868" s="1" t="s">
        <v>49</v>
      </c>
      <c r="E868" s="1">
        <v>8188.04</v>
      </c>
      <c r="F868" s="1">
        <v>19</v>
      </c>
      <c r="G868" s="1" t="s">
        <v>31</v>
      </c>
      <c r="H868" s="1">
        <v>4055.51</v>
      </c>
      <c r="I868" s="1">
        <v>4258.84</v>
      </c>
      <c r="J868" s="1" t="s">
        <v>17</v>
      </c>
      <c r="K868" s="1">
        <v>0.03</v>
      </c>
      <c r="L868" s="1" t="s">
        <v>28</v>
      </c>
      <c r="M868" s="1" t="s">
        <v>19</v>
      </c>
      <c r="N868" s="1">
        <f>SUM(Table3[[#This Row],[Unit_Price]]-Table3[[#This Row],[Unit_Cost]])</f>
        <v>203.32999999999993</v>
      </c>
      <c r="O868" s="7"/>
      <c r="P868" s="7"/>
      <c r="Q868" s="7"/>
      <c r="S868"/>
    </row>
    <row r="869" spans="1:19" x14ac:dyDescent="0.3">
      <c r="A869" s="1">
        <v>1082</v>
      </c>
      <c r="B869" s="2">
        <v>45135</v>
      </c>
      <c r="C869" s="1" t="s">
        <v>33</v>
      </c>
      <c r="D869" s="1" t="s">
        <v>50</v>
      </c>
      <c r="E869" s="1">
        <v>8540.2199999999993</v>
      </c>
      <c r="F869" s="1">
        <v>48</v>
      </c>
      <c r="G869" s="1" t="s">
        <v>24</v>
      </c>
      <c r="H869" s="1">
        <v>3380.52</v>
      </c>
      <c r="I869" s="1">
        <v>3778.94</v>
      </c>
      <c r="J869" s="1" t="s">
        <v>17</v>
      </c>
      <c r="K869" s="1">
        <v>0.3</v>
      </c>
      <c r="L869" s="1" t="s">
        <v>25</v>
      </c>
      <c r="M869" s="1" t="s">
        <v>19</v>
      </c>
      <c r="N869" s="1">
        <f>SUM(Table3[[#This Row],[Unit_Price]]-Table3[[#This Row],[Unit_Cost]])</f>
        <v>398.42000000000007</v>
      </c>
      <c r="O869" s="7"/>
      <c r="P869" s="7"/>
      <c r="Q869" s="7"/>
      <c r="S869"/>
    </row>
    <row r="870" spans="1:19" x14ac:dyDescent="0.3">
      <c r="A870" s="1">
        <v>1030</v>
      </c>
      <c r="B870" s="2">
        <v>44998</v>
      </c>
      <c r="C870" s="1" t="s">
        <v>33</v>
      </c>
      <c r="D870" s="1" t="s">
        <v>44</v>
      </c>
      <c r="E870" s="1">
        <v>9385.86</v>
      </c>
      <c r="F870" s="1">
        <v>39</v>
      </c>
      <c r="G870" s="1" t="s">
        <v>24</v>
      </c>
      <c r="H870" s="1">
        <v>2511.2800000000002</v>
      </c>
      <c r="I870" s="1">
        <v>2658.06</v>
      </c>
      <c r="J870" s="1" t="s">
        <v>27</v>
      </c>
      <c r="K870" s="1">
        <v>0.19</v>
      </c>
      <c r="L870" s="1" t="s">
        <v>28</v>
      </c>
      <c r="M870" s="1" t="s">
        <v>21</v>
      </c>
      <c r="N870" s="1">
        <f>SUM(Table3[[#This Row],[Unit_Price]]-Table3[[#This Row],[Unit_Cost]])</f>
        <v>146.77999999999975</v>
      </c>
      <c r="O870" s="7"/>
      <c r="P870" s="7"/>
      <c r="Q870" s="7"/>
      <c r="S870"/>
    </row>
    <row r="871" spans="1:19" x14ac:dyDescent="0.3">
      <c r="A871" s="1">
        <v>1079</v>
      </c>
      <c r="B871" s="2">
        <v>45203</v>
      </c>
      <c r="C871" s="1" t="s">
        <v>32</v>
      </c>
      <c r="D871" s="1" t="s">
        <v>45</v>
      </c>
      <c r="E871" s="1">
        <v>942.52</v>
      </c>
      <c r="F871" s="1">
        <v>12</v>
      </c>
      <c r="G871" s="1" t="s">
        <v>24</v>
      </c>
      <c r="H871" s="1">
        <v>4754.0200000000004</v>
      </c>
      <c r="I871" s="1">
        <v>5080.74</v>
      </c>
      <c r="J871" s="1" t="s">
        <v>27</v>
      </c>
      <c r="K871" s="1">
        <v>0.2</v>
      </c>
      <c r="L871" s="1" t="s">
        <v>18</v>
      </c>
      <c r="M871" s="1" t="s">
        <v>19</v>
      </c>
      <c r="N871" s="1">
        <f>SUM(Table3[[#This Row],[Unit_Price]]-Table3[[#This Row],[Unit_Cost]])</f>
        <v>326.71999999999935</v>
      </c>
      <c r="O871" s="7"/>
      <c r="P871" s="7"/>
      <c r="Q871" s="7"/>
      <c r="S871"/>
    </row>
    <row r="872" spans="1:19" x14ac:dyDescent="0.3">
      <c r="A872" s="1">
        <v>1091</v>
      </c>
      <c r="B872" s="2">
        <v>45200</v>
      </c>
      <c r="C872" s="1" t="s">
        <v>32</v>
      </c>
      <c r="D872" s="1" t="s">
        <v>46</v>
      </c>
      <c r="E872" s="1">
        <v>3917.42</v>
      </c>
      <c r="F872" s="1">
        <v>15</v>
      </c>
      <c r="G872" s="1" t="s">
        <v>31</v>
      </c>
      <c r="H872" s="1">
        <v>1534.7</v>
      </c>
      <c r="I872" s="1">
        <v>1972.62</v>
      </c>
      <c r="J872" s="1" t="s">
        <v>17</v>
      </c>
      <c r="K872" s="1">
        <v>0.06</v>
      </c>
      <c r="L872" s="1" t="s">
        <v>28</v>
      </c>
      <c r="M872" s="1" t="s">
        <v>21</v>
      </c>
      <c r="N872" s="1">
        <f>SUM(Table3[[#This Row],[Unit_Price]]-Table3[[#This Row],[Unit_Cost]])</f>
        <v>437.91999999999985</v>
      </c>
      <c r="O872" s="7"/>
      <c r="P872" s="7"/>
      <c r="Q872" s="7"/>
      <c r="S872"/>
    </row>
    <row r="873" spans="1:19" x14ac:dyDescent="0.3">
      <c r="A873" s="1">
        <v>1051</v>
      </c>
      <c r="B873" s="2">
        <v>45246</v>
      </c>
      <c r="C873" s="1" t="s">
        <v>14</v>
      </c>
      <c r="D873" s="1" t="s">
        <v>47</v>
      </c>
      <c r="E873" s="1">
        <v>803.25</v>
      </c>
      <c r="F873" s="1">
        <v>31</v>
      </c>
      <c r="G873" s="1" t="s">
        <v>16</v>
      </c>
      <c r="H873" s="1">
        <v>144.88</v>
      </c>
      <c r="I873" s="1">
        <v>175.29</v>
      </c>
      <c r="J873" s="1" t="s">
        <v>27</v>
      </c>
      <c r="K873" s="1">
        <v>7.0000000000000007E-2</v>
      </c>
      <c r="L873" s="1" t="s">
        <v>25</v>
      </c>
      <c r="M873" s="1" t="s">
        <v>19</v>
      </c>
      <c r="N873" s="1">
        <f>SUM(Table3[[#This Row],[Unit_Price]]-Table3[[#This Row],[Unit_Cost]])</f>
        <v>30.409999999999997</v>
      </c>
      <c r="O873" s="7"/>
      <c r="P873" s="7"/>
      <c r="Q873" s="7"/>
      <c r="S873"/>
    </row>
    <row r="874" spans="1:19" x14ac:dyDescent="0.3">
      <c r="A874" s="1">
        <v>1063</v>
      </c>
      <c r="B874" s="2">
        <v>45264</v>
      </c>
      <c r="C874" s="1" t="s">
        <v>22</v>
      </c>
      <c r="D874" s="1" t="s">
        <v>48</v>
      </c>
      <c r="E874" s="1">
        <v>2186.85</v>
      </c>
      <c r="F874" s="1">
        <v>14</v>
      </c>
      <c r="G874" s="1" t="s">
        <v>26</v>
      </c>
      <c r="H874" s="1">
        <v>2188.35</v>
      </c>
      <c r="I874" s="1">
        <v>2605.3599999999901</v>
      </c>
      <c r="J874" s="1" t="s">
        <v>17</v>
      </c>
      <c r="K874" s="1">
        <v>0.2</v>
      </c>
      <c r="L874" s="1" t="s">
        <v>28</v>
      </c>
      <c r="M874" s="1" t="s">
        <v>21</v>
      </c>
      <c r="N874" s="1">
        <f>SUM(Table3[[#This Row],[Unit_Price]]-Table3[[#This Row],[Unit_Cost]])</f>
        <v>417.00999999999021</v>
      </c>
      <c r="O874" s="7"/>
      <c r="P874" s="7"/>
      <c r="Q874" s="7"/>
      <c r="S874"/>
    </row>
    <row r="875" spans="1:19" x14ac:dyDescent="0.3">
      <c r="A875" s="1">
        <v>1098</v>
      </c>
      <c r="B875" s="2">
        <v>45292</v>
      </c>
      <c r="C875" s="1" t="s">
        <v>14</v>
      </c>
      <c r="D875" s="1" t="s">
        <v>49</v>
      </c>
      <c r="E875" s="1">
        <v>2370.7199999999998</v>
      </c>
      <c r="F875" s="1">
        <v>11</v>
      </c>
      <c r="G875" s="1" t="s">
        <v>26</v>
      </c>
      <c r="H875" s="1">
        <v>213.41</v>
      </c>
      <c r="I875" s="1">
        <v>503.36</v>
      </c>
      <c r="J875" s="1" t="s">
        <v>17</v>
      </c>
      <c r="K875" s="1">
        <v>0.27</v>
      </c>
      <c r="L875" s="1" t="s">
        <v>25</v>
      </c>
      <c r="M875" s="1" t="s">
        <v>19</v>
      </c>
      <c r="N875" s="1">
        <f>SUM(Table3[[#This Row],[Unit_Price]]-Table3[[#This Row],[Unit_Cost]])</f>
        <v>289.95000000000005</v>
      </c>
      <c r="O875" s="7"/>
      <c r="P875" s="7"/>
      <c r="Q875" s="7"/>
      <c r="S875"/>
    </row>
    <row r="876" spans="1:19" x14ac:dyDescent="0.3">
      <c r="A876" s="1">
        <v>1052</v>
      </c>
      <c r="B876" s="2">
        <v>45021</v>
      </c>
      <c r="C876" s="1" t="s">
        <v>29</v>
      </c>
      <c r="D876" s="1" t="s">
        <v>50</v>
      </c>
      <c r="E876" s="1">
        <v>4744.16</v>
      </c>
      <c r="F876" s="1">
        <v>26</v>
      </c>
      <c r="G876" s="1" t="s">
        <v>26</v>
      </c>
      <c r="H876" s="1">
        <v>4771.99</v>
      </c>
      <c r="I876" s="1">
        <v>5079.6499999999996</v>
      </c>
      <c r="J876" s="1" t="s">
        <v>27</v>
      </c>
      <c r="K876" s="1">
        <v>0.28999999999999998</v>
      </c>
      <c r="L876" s="1" t="s">
        <v>28</v>
      </c>
      <c r="M876" s="1" t="s">
        <v>19</v>
      </c>
      <c r="N876" s="1">
        <f>SUM(Table3[[#This Row],[Unit_Price]]-Table3[[#This Row],[Unit_Cost]])</f>
        <v>307.65999999999985</v>
      </c>
      <c r="O876" s="7"/>
      <c r="P876" s="7"/>
      <c r="Q876" s="7"/>
      <c r="S876"/>
    </row>
    <row r="877" spans="1:19" x14ac:dyDescent="0.3">
      <c r="A877" s="1">
        <v>1038</v>
      </c>
      <c r="B877" s="2">
        <v>45092</v>
      </c>
      <c r="C877" s="1" t="s">
        <v>33</v>
      </c>
      <c r="D877" s="1" t="s">
        <v>44</v>
      </c>
      <c r="E877" s="1">
        <v>2758.77</v>
      </c>
      <c r="F877" s="1">
        <v>42</v>
      </c>
      <c r="G877" s="1" t="s">
        <v>24</v>
      </c>
      <c r="H877" s="1">
        <v>1089.0899999999999</v>
      </c>
      <c r="I877" s="1">
        <v>1355.44</v>
      </c>
      <c r="J877" s="1" t="s">
        <v>27</v>
      </c>
      <c r="K877" s="1">
        <v>0.06</v>
      </c>
      <c r="L877" s="1" t="s">
        <v>18</v>
      </c>
      <c r="M877" s="1" t="s">
        <v>21</v>
      </c>
      <c r="N877" s="1">
        <f>SUM(Table3[[#This Row],[Unit_Price]]-Table3[[#This Row],[Unit_Cost]])</f>
        <v>266.35000000000014</v>
      </c>
      <c r="O877" s="7"/>
      <c r="P877" s="7"/>
      <c r="Q877" s="7"/>
      <c r="S877"/>
    </row>
    <row r="878" spans="1:19" x14ac:dyDescent="0.3">
      <c r="A878" s="1">
        <v>1097</v>
      </c>
      <c r="B878" s="2">
        <v>44958</v>
      </c>
      <c r="C878" s="1" t="s">
        <v>33</v>
      </c>
      <c r="D878" s="1" t="s">
        <v>45</v>
      </c>
      <c r="E878" s="1">
        <v>1099.68</v>
      </c>
      <c r="F878" s="1">
        <v>27</v>
      </c>
      <c r="G878" s="1" t="s">
        <v>31</v>
      </c>
      <c r="H878" s="1">
        <v>3955.19</v>
      </c>
      <c r="I878" s="1">
        <v>4393.68</v>
      </c>
      <c r="J878" s="1" t="s">
        <v>17</v>
      </c>
      <c r="K878" s="1">
        <v>0.04</v>
      </c>
      <c r="L878" s="1" t="s">
        <v>28</v>
      </c>
      <c r="M878" s="1" t="s">
        <v>19</v>
      </c>
      <c r="N878" s="1">
        <f>SUM(Table3[[#This Row],[Unit_Price]]-Table3[[#This Row],[Unit_Cost]])</f>
        <v>438.49000000000024</v>
      </c>
      <c r="O878" s="7"/>
      <c r="P878" s="7"/>
      <c r="Q878" s="7"/>
      <c r="S878"/>
    </row>
    <row r="879" spans="1:19" x14ac:dyDescent="0.3">
      <c r="A879" s="1">
        <v>1088</v>
      </c>
      <c r="B879" s="2">
        <v>44937</v>
      </c>
      <c r="C879" s="1" t="s">
        <v>33</v>
      </c>
      <c r="D879" s="1" t="s">
        <v>46</v>
      </c>
      <c r="E879" s="1">
        <v>1758.16</v>
      </c>
      <c r="F879" s="1">
        <v>11</v>
      </c>
      <c r="G879" s="1" t="s">
        <v>24</v>
      </c>
      <c r="H879" s="1">
        <v>3884.13</v>
      </c>
      <c r="I879" s="1">
        <v>3915.41</v>
      </c>
      <c r="J879" s="1" t="s">
        <v>17</v>
      </c>
      <c r="K879" s="1">
        <v>0.02</v>
      </c>
      <c r="L879" s="1" t="s">
        <v>18</v>
      </c>
      <c r="M879" s="1" t="s">
        <v>19</v>
      </c>
      <c r="N879" s="1">
        <f>SUM(Table3[[#This Row],[Unit_Price]]-Table3[[#This Row],[Unit_Cost]])</f>
        <v>31.279999999999745</v>
      </c>
      <c r="O879" s="7"/>
      <c r="P879" s="7"/>
      <c r="Q879" s="7"/>
      <c r="S879"/>
    </row>
    <row r="880" spans="1:19" x14ac:dyDescent="0.3">
      <c r="A880" s="1">
        <v>1079</v>
      </c>
      <c r="B880" s="2">
        <v>45227</v>
      </c>
      <c r="C880" s="1" t="s">
        <v>14</v>
      </c>
      <c r="D880" s="1" t="s">
        <v>47</v>
      </c>
      <c r="E880" s="1">
        <v>1558.03</v>
      </c>
      <c r="F880" s="1">
        <v>38</v>
      </c>
      <c r="G880" s="1" t="s">
        <v>16</v>
      </c>
      <c r="H880" s="1">
        <v>1127.76</v>
      </c>
      <c r="I880" s="1">
        <v>1265.6600000000001</v>
      </c>
      <c r="J880" s="1" t="s">
        <v>17</v>
      </c>
      <c r="K880" s="1">
        <v>0.26</v>
      </c>
      <c r="L880" s="1" t="s">
        <v>25</v>
      </c>
      <c r="M880" s="1" t="s">
        <v>21</v>
      </c>
      <c r="N880" s="1">
        <f>SUM(Table3[[#This Row],[Unit_Price]]-Table3[[#This Row],[Unit_Cost]])</f>
        <v>137.90000000000009</v>
      </c>
      <c r="O880" s="7"/>
      <c r="P880" s="7"/>
      <c r="Q880" s="7"/>
      <c r="S880"/>
    </row>
    <row r="881" spans="1:19" x14ac:dyDescent="0.3">
      <c r="A881" s="1">
        <v>1030</v>
      </c>
      <c r="B881" s="2">
        <v>45143</v>
      </c>
      <c r="C881" s="1" t="s">
        <v>14</v>
      </c>
      <c r="D881" s="1" t="s">
        <v>48</v>
      </c>
      <c r="E881" s="1">
        <v>9733.4599999999991</v>
      </c>
      <c r="F881" s="1">
        <v>34</v>
      </c>
      <c r="G881" s="1" t="s">
        <v>31</v>
      </c>
      <c r="H881" s="1">
        <v>3125.07</v>
      </c>
      <c r="I881" s="1">
        <v>3564.19</v>
      </c>
      <c r="J881" s="1" t="s">
        <v>17</v>
      </c>
      <c r="K881" s="1">
        <v>0.09</v>
      </c>
      <c r="L881" s="1" t="s">
        <v>18</v>
      </c>
      <c r="M881" s="1" t="s">
        <v>19</v>
      </c>
      <c r="N881" s="1">
        <f>SUM(Table3[[#This Row],[Unit_Price]]-Table3[[#This Row],[Unit_Cost]])</f>
        <v>439.11999999999989</v>
      </c>
      <c r="O881" s="7"/>
      <c r="P881" s="7"/>
      <c r="Q881" s="7"/>
      <c r="S881"/>
    </row>
    <row r="882" spans="1:19" x14ac:dyDescent="0.3">
      <c r="A882" s="1">
        <v>1051</v>
      </c>
      <c r="B882" s="2">
        <v>45215</v>
      </c>
      <c r="C882" s="1" t="s">
        <v>33</v>
      </c>
      <c r="D882" s="1" t="s">
        <v>49</v>
      </c>
      <c r="E882" s="1">
        <v>7617</v>
      </c>
      <c r="F882" s="1">
        <v>43</v>
      </c>
      <c r="G882" s="1" t="s">
        <v>26</v>
      </c>
      <c r="H882" s="1">
        <v>287.99</v>
      </c>
      <c r="I882" s="1">
        <v>666.64</v>
      </c>
      <c r="J882" s="1" t="s">
        <v>17</v>
      </c>
      <c r="K882" s="1">
        <v>0</v>
      </c>
      <c r="L882" s="1" t="s">
        <v>25</v>
      </c>
      <c r="M882" s="1" t="s">
        <v>19</v>
      </c>
      <c r="N882" s="1">
        <f>SUM(Table3[[#This Row],[Unit_Price]]-Table3[[#This Row],[Unit_Cost]])</f>
        <v>378.65</v>
      </c>
      <c r="O882" s="7"/>
      <c r="P882" s="7"/>
      <c r="Q882" s="7"/>
      <c r="S882"/>
    </row>
    <row r="883" spans="1:19" x14ac:dyDescent="0.3">
      <c r="A883" s="1">
        <v>1081</v>
      </c>
      <c r="B883" s="2">
        <v>45028</v>
      </c>
      <c r="C883" s="1" t="s">
        <v>14</v>
      </c>
      <c r="D883" s="1" t="s">
        <v>50</v>
      </c>
      <c r="E883" s="1">
        <v>9680.84</v>
      </c>
      <c r="F883" s="1">
        <v>19</v>
      </c>
      <c r="G883" s="1" t="s">
        <v>24</v>
      </c>
      <c r="H883" s="1">
        <v>2443.69</v>
      </c>
      <c r="I883" s="1">
        <v>2462.34</v>
      </c>
      <c r="J883" s="1" t="s">
        <v>27</v>
      </c>
      <c r="K883" s="1">
        <v>7.0000000000000007E-2</v>
      </c>
      <c r="L883" s="1" t="s">
        <v>25</v>
      </c>
      <c r="M883" s="1" t="s">
        <v>21</v>
      </c>
      <c r="N883" s="1">
        <f>SUM(Table3[[#This Row],[Unit_Price]]-Table3[[#This Row],[Unit_Cost]])</f>
        <v>18.650000000000091</v>
      </c>
      <c r="O883" s="7"/>
      <c r="P883" s="7"/>
      <c r="Q883" s="7"/>
      <c r="S883"/>
    </row>
    <row r="884" spans="1:19" x14ac:dyDescent="0.3">
      <c r="A884" s="1">
        <v>1005</v>
      </c>
      <c r="B884" s="2">
        <v>45193</v>
      </c>
      <c r="C884" s="1" t="s">
        <v>32</v>
      </c>
      <c r="D884" s="1" t="s">
        <v>44</v>
      </c>
      <c r="E884" s="1">
        <v>4453.43</v>
      </c>
      <c r="F884" s="1">
        <v>6</v>
      </c>
      <c r="G884" s="1" t="s">
        <v>24</v>
      </c>
      <c r="H884" s="1">
        <v>122.5</v>
      </c>
      <c r="I884" s="1">
        <v>385.83</v>
      </c>
      <c r="J884" s="1" t="s">
        <v>17</v>
      </c>
      <c r="K884" s="1">
        <v>0.1</v>
      </c>
      <c r="L884" s="1" t="s">
        <v>18</v>
      </c>
      <c r="M884" s="1" t="s">
        <v>21</v>
      </c>
      <c r="N884" s="1">
        <f>SUM(Table3[[#This Row],[Unit_Price]]-Table3[[#This Row],[Unit_Cost]])</f>
        <v>263.33</v>
      </c>
      <c r="O884" s="7"/>
      <c r="P884" s="7"/>
      <c r="Q884" s="7"/>
      <c r="S884"/>
    </row>
    <row r="885" spans="1:19" x14ac:dyDescent="0.3">
      <c r="A885" s="1">
        <v>1029</v>
      </c>
      <c r="B885" s="2">
        <v>45140</v>
      </c>
      <c r="C885" s="1" t="s">
        <v>32</v>
      </c>
      <c r="D885" s="1" t="s">
        <v>45</v>
      </c>
      <c r="E885" s="1">
        <v>2855.85</v>
      </c>
      <c r="F885" s="1">
        <v>46</v>
      </c>
      <c r="G885" s="1" t="s">
        <v>16</v>
      </c>
      <c r="H885" s="1">
        <v>4609.66</v>
      </c>
      <c r="I885" s="1">
        <v>4879.1499999999996</v>
      </c>
      <c r="J885" s="1" t="s">
        <v>17</v>
      </c>
      <c r="K885" s="1">
        <v>0.3</v>
      </c>
      <c r="L885" s="1" t="s">
        <v>18</v>
      </c>
      <c r="M885" s="1" t="s">
        <v>21</v>
      </c>
      <c r="N885" s="1">
        <f>SUM(Table3[[#This Row],[Unit_Price]]-Table3[[#This Row],[Unit_Cost]])</f>
        <v>269.48999999999978</v>
      </c>
      <c r="O885" s="7"/>
      <c r="P885" s="7"/>
      <c r="Q885" s="7"/>
      <c r="S885"/>
    </row>
    <row r="886" spans="1:19" x14ac:dyDescent="0.3">
      <c r="A886" s="1">
        <v>1004</v>
      </c>
      <c r="B886" s="2">
        <v>45105</v>
      </c>
      <c r="C886" s="1" t="s">
        <v>14</v>
      </c>
      <c r="D886" s="1" t="s">
        <v>46</v>
      </c>
      <c r="E886" s="1">
        <v>8003.1</v>
      </c>
      <c r="F886" s="1">
        <v>38</v>
      </c>
      <c r="G886" s="1" t="s">
        <v>16</v>
      </c>
      <c r="H886" s="1">
        <v>4881.63</v>
      </c>
      <c r="I886" s="1">
        <v>5088.0600000000004</v>
      </c>
      <c r="J886" s="1" t="s">
        <v>17</v>
      </c>
      <c r="K886" s="1">
        <v>0.16</v>
      </c>
      <c r="L886" s="1" t="s">
        <v>28</v>
      </c>
      <c r="M886" s="1" t="s">
        <v>21</v>
      </c>
      <c r="N886" s="1">
        <f>SUM(Table3[[#This Row],[Unit_Price]]-Table3[[#This Row],[Unit_Cost]])</f>
        <v>206.43000000000029</v>
      </c>
      <c r="O886" s="7"/>
      <c r="P886" s="7"/>
      <c r="Q886" s="7"/>
      <c r="S886"/>
    </row>
    <row r="887" spans="1:19" x14ac:dyDescent="0.3">
      <c r="A887" s="1">
        <v>1010</v>
      </c>
      <c r="B887" s="2">
        <v>45014</v>
      </c>
      <c r="C887" s="1" t="s">
        <v>33</v>
      </c>
      <c r="D887" s="1" t="s">
        <v>47</v>
      </c>
      <c r="E887" s="1">
        <v>3329.91</v>
      </c>
      <c r="F887" s="1">
        <v>49</v>
      </c>
      <c r="G887" s="1" t="s">
        <v>24</v>
      </c>
      <c r="H887" s="1">
        <v>1150.3</v>
      </c>
      <c r="I887" s="1">
        <v>1306.02</v>
      </c>
      <c r="J887" s="1" t="s">
        <v>27</v>
      </c>
      <c r="K887" s="1">
        <v>0.06</v>
      </c>
      <c r="L887" s="1" t="s">
        <v>28</v>
      </c>
      <c r="M887" s="1" t="s">
        <v>21</v>
      </c>
      <c r="N887" s="1">
        <f>SUM(Table3[[#This Row],[Unit_Price]]-Table3[[#This Row],[Unit_Cost]])</f>
        <v>155.72000000000003</v>
      </c>
      <c r="O887" s="7"/>
      <c r="P887" s="7"/>
      <c r="Q887" s="7"/>
      <c r="S887"/>
    </row>
    <row r="888" spans="1:19" x14ac:dyDescent="0.3">
      <c r="A888" s="1">
        <v>1056</v>
      </c>
      <c r="B888" s="2">
        <v>44967</v>
      </c>
      <c r="C888" s="1" t="s">
        <v>14</v>
      </c>
      <c r="D888" s="1" t="s">
        <v>48</v>
      </c>
      <c r="E888" s="1">
        <v>3063.9</v>
      </c>
      <c r="F888" s="1">
        <v>42</v>
      </c>
      <c r="G888" s="1" t="s">
        <v>16</v>
      </c>
      <c r="H888" s="1">
        <v>1080.1199999999999</v>
      </c>
      <c r="I888" s="1">
        <v>1424.1699999999901</v>
      </c>
      <c r="J888" s="1" t="s">
        <v>27</v>
      </c>
      <c r="K888" s="1">
        <v>0.1</v>
      </c>
      <c r="L888" s="1" t="s">
        <v>18</v>
      </c>
      <c r="M888" s="1" t="s">
        <v>19</v>
      </c>
      <c r="N888" s="1">
        <f>SUM(Table3[[#This Row],[Unit_Price]]-Table3[[#This Row],[Unit_Cost]])</f>
        <v>344.04999999999018</v>
      </c>
      <c r="O888" s="7"/>
      <c r="P888" s="7"/>
      <c r="Q888" s="7"/>
      <c r="S888"/>
    </row>
    <row r="889" spans="1:19" x14ac:dyDescent="0.3">
      <c r="A889" s="1">
        <v>1017</v>
      </c>
      <c r="B889" s="2">
        <v>45002</v>
      </c>
      <c r="C889" s="1" t="s">
        <v>14</v>
      </c>
      <c r="D889" s="1" t="s">
        <v>49</v>
      </c>
      <c r="E889" s="1">
        <v>2401.81</v>
      </c>
      <c r="F889" s="1">
        <v>28</v>
      </c>
      <c r="G889" s="1" t="s">
        <v>26</v>
      </c>
      <c r="H889" s="1">
        <v>3780.91</v>
      </c>
      <c r="I889" s="1">
        <v>3892.73</v>
      </c>
      <c r="J889" s="1" t="s">
        <v>17</v>
      </c>
      <c r="K889" s="1">
        <v>0.1</v>
      </c>
      <c r="L889" s="1" t="s">
        <v>18</v>
      </c>
      <c r="M889" s="1" t="s">
        <v>21</v>
      </c>
      <c r="N889" s="1">
        <f>SUM(Table3[[#This Row],[Unit_Price]]-Table3[[#This Row],[Unit_Cost]])</f>
        <v>111.82000000000016</v>
      </c>
      <c r="O889" s="7"/>
      <c r="P889" s="7"/>
      <c r="Q889" s="7"/>
      <c r="S889"/>
    </row>
    <row r="890" spans="1:19" x14ac:dyDescent="0.3">
      <c r="A890" s="1">
        <v>1074</v>
      </c>
      <c r="B890" s="2">
        <v>44972</v>
      </c>
      <c r="C890" s="1" t="s">
        <v>14</v>
      </c>
      <c r="D890" s="1" t="s">
        <v>50</v>
      </c>
      <c r="E890" s="1">
        <v>1383.82</v>
      </c>
      <c r="F890" s="1">
        <v>1</v>
      </c>
      <c r="G890" s="1" t="s">
        <v>16</v>
      </c>
      <c r="H890" s="1">
        <v>1304.23</v>
      </c>
      <c r="I890" s="1">
        <v>1705.71</v>
      </c>
      <c r="J890" s="1" t="s">
        <v>17</v>
      </c>
      <c r="K890" s="1">
        <v>0.01</v>
      </c>
      <c r="L890" s="1" t="s">
        <v>18</v>
      </c>
      <c r="M890" s="1" t="s">
        <v>21</v>
      </c>
      <c r="N890" s="1">
        <f>SUM(Table3[[#This Row],[Unit_Price]]-Table3[[#This Row],[Unit_Cost]])</f>
        <v>401.48</v>
      </c>
      <c r="O890" s="7"/>
      <c r="P890" s="7"/>
      <c r="Q890" s="7"/>
      <c r="S890"/>
    </row>
    <row r="891" spans="1:19" x14ac:dyDescent="0.3">
      <c r="A891" s="1">
        <v>1017</v>
      </c>
      <c r="B891" s="2">
        <v>45086</v>
      </c>
      <c r="C891" s="1" t="s">
        <v>29</v>
      </c>
      <c r="D891" s="1" t="s">
        <v>44</v>
      </c>
      <c r="E891" s="1">
        <v>2638.98</v>
      </c>
      <c r="F891" s="1">
        <v>35</v>
      </c>
      <c r="G891" s="1" t="s">
        <v>16</v>
      </c>
      <c r="H891" s="1">
        <v>4480.63</v>
      </c>
      <c r="I891" s="1">
        <v>4884.12</v>
      </c>
      <c r="J891" s="1" t="s">
        <v>27</v>
      </c>
      <c r="K891" s="1">
        <v>0.04</v>
      </c>
      <c r="L891" s="1" t="s">
        <v>18</v>
      </c>
      <c r="M891" s="1" t="s">
        <v>19</v>
      </c>
      <c r="N891" s="1">
        <f>SUM(Table3[[#This Row],[Unit_Price]]-Table3[[#This Row],[Unit_Cost]])</f>
        <v>403.48999999999978</v>
      </c>
      <c r="O891" s="7"/>
      <c r="P891" s="7"/>
      <c r="Q891" s="7"/>
      <c r="S891"/>
    </row>
    <row r="892" spans="1:19" x14ac:dyDescent="0.3">
      <c r="A892" s="1">
        <v>1084</v>
      </c>
      <c r="B892" s="2">
        <v>45006</v>
      </c>
      <c r="C892" s="1" t="s">
        <v>32</v>
      </c>
      <c r="D892" s="1" t="s">
        <v>45</v>
      </c>
      <c r="E892" s="1">
        <v>3617.67</v>
      </c>
      <c r="F892" s="1">
        <v>40</v>
      </c>
      <c r="G892" s="1" t="s">
        <v>24</v>
      </c>
      <c r="H892" s="1">
        <v>2890.95</v>
      </c>
      <c r="I892" s="1">
        <v>3104.43</v>
      </c>
      <c r="J892" s="1" t="s">
        <v>27</v>
      </c>
      <c r="K892" s="1">
        <v>0.21</v>
      </c>
      <c r="L892" s="1" t="s">
        <v>25</v>
      </c>
      <c r="M892" s="1" t="s">
        <v>19</v>
      </c>
      <c r="N892" s="1">
        <f>SUM(Table3[[#This Row],[Unit_Price]]-Table3[[#This Row],[Unit_Cost]])</f>
        <v>213.48000000000002</v>
      </c>
      <c r="O892" s="7"/>
      <c r="P892" s="7"/>
      <c r="Q892" s="7"/>
      <c r="S892"/>
    </row>
    <row r="893" spans="1:19" x14ac:dyDescent="0.3">
      <c r="A893" s="1">
        <v>1088</v>
      </c>
      <c r="B893" s="2">
        <v>45236</v>
      </c>
      <c r="C893" s="1" t="s">
        <v>22</v>
      </c>
      <c r="D893" s="1" t="s">
        <v>46</v>
      </c>
      <c r="E893" s="1">
        <v>6772.54</v>
      </c>
      <c r="F893" s="1">
        <v>8</v>
      </c>
      <c r="G893" s="1" t="s">
        <v>24</v>
      </c>
      <c r="H893" s="1">
        <v>1786.35</v>
      </c>
      <c r="I893" s="1">
        <v>1935.29</v>
      </c>
      <c r="J893" s="1" t="s">
        <v>27</v>
      </c>
      <c r="K893" s="1">
        <v>0.04</v>
      </c>
      <c r="L893" s="1" t="s">
        <v>18</v>
      </c>
      <c r="M893" s="1" t="s">
        <v>19</v>
      </c>
      <c r="N893" s="1">
        <f>SUM(Table3[[#This Row],[Unit_Price]]-Table3[[#This Row],[Unit_Cost]])</f>
        <v>148.94000000000005</v>
      </c>
      <c r="O893" s="7"/>
      <c r="P893" s="7"/>
      <c r="Q893" s="7"/>
      <c r="S893"/>
    </row>
    <row r="894" spans="1:19" x14ac:dyDescent="0.3">
      <c r="A894" s="1">
        <v>1069</v>
      </c>
      <c r="B894" s="2">
        <v>45012</v>
      </c>
      <c r="C894" s="1" t="s">
        <v>22</v>
      </c>
      <c r="D894" s="1" t="s">
        <v>47</v>
      </c>
      <c r="E894" s="1">
        <v>719.39</v>
      </c>
      <c r="F894" s="1">
        <v>47</v>
      </c>
      <c r="G894" s="1" t="s">
        <v>31</v>
      </c>
      <c r="H894" s="1">
        <v>4171.83</v>
      </c>
      <c r="I894" s="1">
        <v>4320.93</v>
      </c>
      <c r="J894" s="1" t="s">
        <v>27</v>
      </c>
      <c r="K894" s="1">
        <v>7.0000000000000007E-2</v>
      </c>
      <c r="L894" s="1" t="s">
        <v>18</v>
      </c>
      <c r="M894" s="1" t="s">
        <v>19</v>
      </c>
      <c r="N894" s="1">
        <f>SUM(Table3[[#This Row],[Unit_Price]]-Table3[[#This Row],[Unit_Cost]])</f>
        <v>149.10000000000036</v>
      </c>
      <c r="O894" s="7"/>
      <c r="P894" s="7"/>
      <c r="Q894" s="7"/>
      <c r="S894"/>
    </row>
    <row r="895" spans="1:19" x14ac:dyDescent="0.3">
      <c r="A895" s="1">
        <v>1034</v>
      </c>
      <c r="B895" s="2">
        <v>45018</v>
      </c>
      <c r="C895" s="1" t="s">
        <v>29</v>
      </c>
      <c r="D895" s="1" t="s">
        <v>48</v>
      </c>
      <c r="E895" s="1">
        <v>2184.02</v>
      </c>
      <c r="F895" s="1">
        <v>7</v>
      </c>
      <c r="G895" s="1" t="s">
        <v>31</v>
      </c>
      <c r="H895" s="1">
        <v>2492.36</v>
      </c>
      <c r="I895" s="1">
        <v>2738.68</v>
      </c>
      <c r="J895" s="1" t="s">
        <v>17</v>
      </c>
      <c r="K895" s="1">
        <v>0.11</v>
      </c>
      <c r="L895" s="1" t="s">
        <v>18</v>
      </c>
      <c r="M895" s="1" t="s">
        <v>19</v>
      </c>
      <c r="N895" s="1">
        <f>SUM(Table3[[#This Row],[Unit_Price]]-Table3[[#This Row],[Unit_Cost]])</f>
        <v>246.31999999999971</v>
      </c>
      <c r="O895" s="7"/>
      <c r="P895" s="7"/>
      <c r="Q895" s="7"/>
      <c r="S895"/>
    </row>
    <row r="896" spans="1:19" x14ac:dyDescent="0.3">
      <c r="A896" s="1">
        <v>1006</v>
      </c>
      <c r="B896" s="2">
        <v>45074</v>
      </c>
      <c r="C896" s="1" t="s">
        <v>14</v>
      </c>
      <c r="D896" s="1" t="s">
        <v>49</v>
      </c>
      <c r="E896" s="1">
        <v>8109.33</v>
      </c>
      <c r="F896" s="1">
        <v>11</v>
      </c>
      <c r="G896" s="1" t="s">
        <v>24</v>
      </c>
      <c r="H896" s="1">
        <v>4562.58</v>
      </c>
      <c r="I896" s="1">
        <v>4925.17</v>
      </c>
      <c r="J896" s="1" t="s">
        <v>27</v>
      </c>
      <c r="K896" s="1">
        <v>0.23</v>
      </c>
      <c r="L896" s="1" t="s">
        <v>18</v>
      </c>
      <c r="M896" s="1" t="s">
        <v>21</v>
      </c>
      <c r="N896" s="1">
        <f>SUM(Table3[[#This Row],[Unit_Price]]-Table3[[#This Row],[Unit_Cost]])</f>
        <v>362.59000000000015</v>
      </c>
      <c r="O896" s="7"/>
      <c r="P896" s="7"/>
      <c r="Q896" s="7"/>
      <c r="S896"/>
    </row>
    <row r="897" spans="1:19" x14ac:dyDescent="0.3">
      <c r="A897" s="1">
        <v>1053</v>
      </c>
      <c r="B897" s="2">
        <v>45087</v>
      </c>
      <c r="C897" s="1" t="s">
        <v>29</v>
      </c>
      <c r="D897" s="1" t="s">
        <v>50</v>
      </c>
      <c r="E897" s="1">
        <v>1554.53</v>
      </c>
      <c r="F897" s="1">
        <v>39</v>
      </c>
      <c r="G897" s="1" t="s">
        <v>16</v>
      </c>
      <c r="H897" s="1">
        <v>4643.67</v>
      </c>
      <c r="I897" s="1">
        <v>4829.5200000000004</v>
      </c>
      <c r="J897" s="1" t="s">
        <v>17</v>
      </c>
      <c r="K897" s="1">
        <v>0.17</v>
      </c>
      <c r="L897" s="1" t="s">
        <v>25</v>
      </c>
      <c r="M897" s="1" t="s">
        <v>19</v>
      </c>
      <c r="N897" s="1">
        <f>SUM(Table3[[#This Row],[Unit_Price]]-Table3[[#This Row],[Unit_Cost]])</f>
        <v>185.85000000000036</v>
      </c>
      <c r="O897" s="7"/>
      <c r="P897" s="7"/>
      <c r="Q897" s="7"/>
      <c r="S897"/>
    </row>
    <row r="898" spans="1:19" x14ac:dyDescent="0.3">
      <c r="A898" s="1">
        <v>1066</v>
      </c>
      <c r="B898" s="2">
        <v>45128</v>
      </c>
      <c r="C898" s="1" t="s">
        <v>29</v>
      </c>
      <c r="D898" s="1" t="s">
        <v>44</v>
      </c>
      <c r="E898" s="1">
        <v>3492.19</v>
      </c>
      <c r="F898" s="1">
        <v>4</v>
      </c>
      <c r="G898" s="1" t="s">
        <v>16</v>
      </c>
      <c r="H898" s="1">
        <v>868.83</v>
      </c>
      <c r="I898" s="1">
        <v>1177.75</v>
      </c>
      <c r="J898" s="1" t="s">
        <v>17</v>
      </c>
      <c r="K898" s="1">
        <v>0.21</v>
      </c>
      <c r="L898" s="1" t="s">
        <v>28</v>
      </c>
      <c r="M898" s="1" t="s">
        <v>21</v>
      </c>
      <c r="N898" s="1">
        <f>SUM(Table3[[#This Row],[Unit_Price]]-Table3[[#This Row],[Unit_Cost]])</f>
        <v>308.91999999999996</v>
      </c>
      <c r="O898" s="7"/>
      <c r="P898" s="7"/>
      <c r="Q898" s="7"/>
      <c r="S898"/>
    </row>
    <row r="899" spans="1:19" x14ac:dyDescent="0.3">
      <c r="A899" s="1">
        <v>1077</v>
      </c>
      <c r="B899" s="2">
        <v>45168</v>
      </c>
      <c r="C899" s="1" t="s">
        <v>33</v>
      </c>
      <c r="D899" s="1" t="s">
        <v>45</v>
      </c>
      <c r="E899" s="1">
        <v>8660.1200000000008</v>
      </c>
      <c r="F899" s="1">
        <v>25</v>
      </c>
      <c r="G899" s="1" t="s">
        <v>31</v>
      </c>
      <c r="H899" s="1">
        <v>61.5</v>
      </c>
      <c r="I899" s="1">
        <v>258.91999999999899</v>
      </c>
      <c r="J899" s="1" t="s">
        <v>27</v>
      </c>
      <c r="K899" s="1">
        <v>0.17</v>
      </c>
      <c r="L899" s="1" t="s">
        <v>28</v>
      </c>
      <c r="M899" s="1" t="s">
        <v>19</v>
      </c>
      <c r="N899" s="1">
        <f>SUM(Table3[[#This Row],[Unit_Price]]-Table3[[#This Row],[Unit_Cost]])</f>
        <v>197.41999999999899</v>
      </c>
      <c r="O899" s="7"/>
      <c r="P899" s="7"/>
      <c r="Q899" s="7"/>
      <c r="S899"/>
    </row>
    <row r="900" spans="1:19" x14ac:dyDescent="0.3">
      <c r="A900" s="1">
        <v>1043</v>
      </c>
      <c r="B900" s="2">
        <v>45279</v>
      </c>
      <c r="C900" s="1" t="s">
        <v>32</v>
      </c>
      <c r="D900" s="1" t="s">
        <v>46</v>
      </c>
      <c r="E900" s="1">
        <v>1633.76</v>
      </c>
      <c r="F900" s="1">
        <v>12</v>
      </c>
      <c r="G900" s="1" t="s">
        <v>31</v>
      </c>
      <c r="H900" s="1">
        <v>4920.46</v>
      </c>
      <c r="I900" s="1">
        <v>5079.68</v>
      </c>
      <c r="J900" s="1" t="s">
        <v>27</v>
      </c>
      <c r="K900" s="1">
        <v>0.21</v>
      </c>
      <c r="L900" s="1" t="s">
        <v>28</v>
      </c>
      <c r="M900" s="1" t="s">
        <v>21</v>
      </c>
      <c r="N900" s="1">
        <f>SUM(Table3[[#This Row],[Unit_Price]]-Table3[[#This Row],[Unit_Cost]])</f>
        <v>159.22000000000025</v>
      </c>
      <c r="O900" s="7"/>
      <c r="P900" s="7"/>
      <c r="Q900" s="7"/>
      <c r="S900"/>
    </row>
    <row r="901" spans="1:19" x14ac:dyDescent="0.3">
      <c r="A901" s="1">
        <v>1075</v>
      </c>
      <c r="B901" s="2">
        <v>44928</v>
      </c>
      <c r="C901" s="1" t="s">
        <v>22</v>
      </c>
      <c r="D901" s="1" t="s">
        <v>47</v>
      </c>
      <c r="E901" s="1">
        <v>919.09</v>
      </c>
      <c r="F901" s="1">
        <v>26</v>
      </c>
      <c r="G901" s="1" t="s">
        <v>31</v>
      </c>
      <c r="H901" s="1">
        <v>4535.38</v>
      </c>
      <c r="I901" s="1">
        <v>4557.5600000000004</v>
      </c>
      <c r="J901" s="1" t="s">
        <v>27</v>
      </c>
      <c r="K901" s="1">
        <v>0</v>
      </c>
      <c r="L901" s="1" t="s">
        <v>28</v>
      </c>
      <c r="M901" s="1" t="s">
        <v>19</v>
      </c>
      <c r="N901" s="1">
        <f>SUM(Table3[[#This Row],[Unit_Price]]-Table3[[#This Row],[Unit_Cost]])</f>
        <v>22.180000000000291</v>
      </c>
      <c r="O901" s="7"/>
      <c r="P901" s="7"/>
      <c r="Q901" s="7"/>
      <c r="S901"/>
    </row>
    <row r="902" spans="1:19" x14ac:dyDescent="0.3">
      <c r="A902" s="1">
        <v>1023</v>
      </c>
      <c r="B902" s="2">
        <v>45151</v>
      </c>
      <c r="C902" s="1" t="s">
        <v>14</v>
      </c>
      <c r="D902" s="1" t="s">
        <v>48</v>
      </c>
      <c r="E902" s="1">
        <v>4896.93</v>
      </c>
      <c r="F902" s="1">
        <v>38</v>
      </c>
      <c r="G902" s="1" t="s">
        <v>26</v>
      </c>
      <c r="H902" s="1">
        <v>324.45</v>
      </c>
      <c r="I902" s="1">
        <v>336.37</v>
      </c>
      <c r="J902" s="1" t="s">
        <v>27</v>
      </c>
      <c r="K902" s="1">
        <v>0.28000000000000003</v>
      </c>
      <c r="L902" s="1" t="s">
        <v>28</v>
      </c>
      <c r="M902" s="1" t="s">
        <v>21</v>
      </c>
      <c r="N902" s="1">
        <f>SUM(Table3[[#This Row],[Unit_Price]]-Table3[[#This Row],[Unit_Cost]])</f>
        <v>11.920000000000016</v>
      </c>
      <c r="O902" s="7"/>
      <c r="P902" s="7"/>
      <c r="Q902" s="7"/>
      <c r="S902"/>
    </row>
    <row r="903" spans="1:19" x14ac:dyDescent="0.3">
      <c r="A903" s="1">
        <v>1055</v>
      </c>
      <c r="B903" s="2">
        <v>45215</v>
      </c>
      <c r="C903" s="1" t="s">
        <v>22</v>
      </c>
      <c r="D903" s="1" t="s">
        <v>49</v>
      </c>
      <c r="E903" s="1">
        <v>3093.95</v>
      </c>
      <c r="F903" s="1">
        <v>46</v>
      </c>
      <c r="G903" s="1" t="s">
        <v>26</v>
      </c>
      <c r="H903" s="1">
        <v>4173.5200000000004</v>
      </c>
      <c r="I903" s="1">
        <v>4294.8500000000004</v>
      </c>
      <c r="J903" s="1" t="s">
        <v>17</v>
      </c>
      <c r="K903" s="1">
        <v>0.03</v>
      </c>
      <c r="L903" s="1" t="s">
        <v>25</v>
      </c>
      <c r="M903" s="1" t="s">
        <v>21</v>
      </c>
      <c r="N903" s="1">
        <f>SUM(Table3[[#This Row],[Unit_Price]]-Table3[[#This Row],[Unit_Cost]])</f>
        <v>121.32999999999993</v>
      </c>
      <c r="O903" s="7"/>
      <c r="P903" s="7"/>
      <c r="Q903" s="7"/>
      <c r="S903"/>
    </row>
    <row r="904" spans="1:19" x14ac:dyDescent="0.3">
      <c r="A904" s="1">
        <v>1080</v>
      </c>
      <c r="B904" s="2">
        <v>45159</v>
      </c>
      <c r="C904" s="1" t="s">
        <v>22</v>
      </c>
      <c r="D904" s="1" t="s">
        <v>50</v>
      </c>
      <c r="E904" s="1">
        <v>5677.74</v>
      </c>
      <c r="F904" s="1">
        <v>12</v>
      </c>
      <c r="G904" s="1" t="s">
        <v>31</v>
      </c>
      <c r="H904" s="1">
        <v>2316.13</v>
      </c>
      <c r="I904" s="1">
        <v>2525.27</v>
      </c>
      <c r="J904" s="1" t="s">
        <v>17</v>
      </c>
      <c r="K904" s="1">
        <v>0.12</v>
      </c>
      <c r="L904" s="1" t="s">
        <v>28</v>
      </c>
      <c r="M904" s="1" t="s">
        <v>21</v>
      </c>
      <c r="N904" s="1">
        <f>SUM(Table3[[#This Row],[Unit_Price]]-Table3[[#This Row],[Unit_Cost]])</f>
        <v>209.13999999999987</v>
      </c>
      <c r="O904" s="7"/>
      <c r="P904" s="7"/>
      <c r="Q904" s="7"/>
      <c r="S904"/>
    </row>
    <row r="905" spans="1:19" x14ac:dyDescent="0.3">
      <c r="A905" s="1">
        <v>1095</v>
      </c>
      <c r="B905" s="2">
        <v>45003</v>
      </c>
      <c r="C905" s="1" t="s">
        <v>32</v>
      </c>
      <c r="D905" s="1" t="s">
        <v>44</v>
      </c>
      <c r="E905" s="1">
        <v>8057.67</v>
      </c>
      <c r="F905" s="1">
        <v>43</v>
      </c>
      <c r="G905" s="1" t="s">
        <v>16</v>
      </c>
      <c r="H905" s="1">
        <v>1331.86</v>
      </c>
      <c r="I905" s="1">
        <v>1758.98</v>
      </c>
      <c r="J905" s="1" t="s">
        <v>17</v>
      </c>
      <c r="K905" s="1">
        <v>0.23</v>
      </c>
      <c r="L905" s="1" t="s">
        <v>25</v>
      </c>
      <c r="M905" s="1" t="s">
        <v>21</v>
      </c>
      <c r="N905" s="1">
        <f>SUM(Table3[[#This Row],[Unit_Price]]-Table3[[#This Row],[Unit_Cost]])</f>
        <v>427.12000000000012</v>
      </c>
      <c r="O905" s="7"/>
      <c r="P905" s="7"/>
      <c r="Q905" s="7"/>
      <c r="S905"/>
    </row>
    <row r="906" spans="1:19" x14ac:dyDescent="0.3">
      <c r="A906" s="1">
        <v>1075</v>
      </c>
      <c r="B906" s="2">
        <v>45042</v>
      </c>
      <c r="C906" s="1" t="s">
        <v>22</v>
      </c>
      <c r="D906" s="1" t="s">
        <v>45</v>
      </c>
      <c r="E906" s="1">
        <v>1457.77</v>
      </c>
      <c r="F906" s="1">
        <v>37</v>
      </c>
      <c r="G906" s="1" t="s">
        <v>31</v>
      </c>
      <c r="H906" s="1">
        <v>4399.8</v>
      </c>
      <c r="I906" s="1">
        <v>4801.0600000000004</v>
      </c>
      <c r="J906" s="1" t="s">
        <v>27</v>
      </c>
      <c r="K906" s="1">
        <v>0.13</v>
      </c>
      <c r="L906" s="1" t="s">
        <v>25</v>
      </c>
      <c r="M906" s="1" t="s">
        <v>21</v>
      </c>
      <c r="N906" s="1">
        <f>SUM(Table3[[#This Row],[Unit_Price]]-Table3[[#This Row],[Unit_Cost]])</f>
        <v>401.26000000000022</v>
      </c>
      <c r="O906" s="7"/>
      <c r="P906" s="7"/>
      <c r="Q906" s="7"/>
      <c r="S906"/>
    </row>
    <row r="907" spans="1:19" x14ac:dyDescent="0.3">
      <c r="A907" s="1">
        <v>1016</v>
      </c>
      <c r="B907" s="2">
        <v>45080</v>
      </c>
      <c r="C907" s="1" t="s">
        <v>22</v>
      </c>
      <c r="D907" s="1" t="s">
        <v>46</v>
      </c>
      <c r="E907" s="1">
        <v>5848.92</v>
      </c>
      <c r="F907" s="1">
        <v>46</v>
      </c>
      <c r="G907" s="1" t="s">
        <v>26</v>
      </c>
      <c r="H907" s="1">
        <v>1023.5</v>
      </c>
      <c r="I907" s="1">
        <v>1164.4100000000001</v>
      </c>
      <c r="J907" s="1" t="s">
        <v>17</v>
      </c>
      <c r="K907" s="1">
        <v>0.28000000000000003</v>
      </c>
      <c r="L907" s="1" t="s">
        <v>28</v>
      </c>
      <c r="M907" s="1" t="s">
        <v>21</v>
      </c>
      <c r="N907" s="1">
        <f>SUM(Table3[[#This Row],[Unit_Price]]-Table3[[#This Row],[Unit_Cost]])</f>
        <v>140.91000000000008</v>
      </c>
      <c r="O907" s="7"/>
      <c r="P907" s="7"/>
      <c r="Q907" s="7"/>
      <c r="S907"/>
    </row>
    <row r="908" spans="1:19" x14ac:dyDescent="0.3">
      <c r="A908" s="1">
        <v>1008</v>
      </c>
      <c r="B908" s="2">
        <v>45029</v>
      </c>
      <c r="C908" s="1" t="s">
        <v>29</v>
      </c>
      <c r="D908" s="1" t="s">
        <v>47</v>
      </c>
      <c r="E908" s="1">
        <v>5104.54</v>
      </c>
      <c r="F908" s="1">
        <v>24</v>
      </c>
      <c r="G908" s="1" t="s">
        <v>16</v>
      </c>
      <c r="H908" s="1">
        <v>4739.13</v>
      </c>
      <c r="I908" s="1">
        <v>4868.95</v>
      </c>
      <c r="J908" s="1" t="s">
        <v>27</v>
      </c>
      <c r="K908" s="1">
        <v>0.14000000000000001</v>
      </c>
      <c r="L908" s="1" t="s">
        <v>28</v>
      </c>
      <c r="M908" s="1" t="s">
        <v>21</v>
      </c>
      <c r="N908" s="1">
        <f>SUM(Table3[[#This Row],[Unit_Price]]-Table3[[#This Row],[Unit_Cost]])</f>
        <v>129.81999999999971</v>
      </c>
      <c r="O908" s="7"/>
      <c r="P908" s="7"/>
      <c r="Q908" s="7"/>
      <c r="S908"/>
    </row>
    <row r="909" spans="1:19" x14ac:dyDescent="0.3">
      <c r="A909" s="1">
        <v>1004</v>
      </c>
      <c r="B909" s="2">
        <v>45120</v>
      </c>
      <c r="C909" s="1" t="s">
        <v>32</v>
      </c>
      <c r="D909" s="1" t="s">
        <v>48</v>
      </c>
      <c r="E909" s="1">
        <v>1526.38</v>
      </c>
      <c r="F909" s="1">
        <v>16</v>
      </c>
      <c r="G909" s="1" t="s">
        <v>26</v>
      </c>
      <c r="H909" s="1">
        <v>1067.83</v>
      </c>
      <c r="I909" s="1">
        <v>1189.22</v>
      </c>
      <c r="J909" s="1" t="s">
        <v>17</v>
      </c>
      <c r="K909" s="1">
        <v>0.26</v>
      </c>
      <c r="L909" s="1" t="s">
        <v>28</v>
      </c>
      <c r="M909" s="1" t="s">
        <v>21</v>
      </c>
      <c r="N909" s="1">
        <f>SUM(Table3[[#This Row],[Unit_Price]]-Table3[[#This Row],[Unit_Cost]])</f>
        <v>121.3900000000001</v>
      </c>
      <c r="O909" s="7"/>
      <c r="P909" s="7"/>
      <c r="Q909" s="7"/>
      <c r="S909"/>
    </row>
    <row r="910" spans="1:19" x14ac:dyDescent="0.3">
      <c r="A910" s="1">
        <v>1004</v>
      </c>
      <c r="B910" s="2">
        <v>45092</v>
      </c>
      <c r="C910" s="1" t="s">
        <v>33</v>
      </c>
      <c r="D910" s="1" t="s">
        <v>49</v>
      </c>
      <c r="E910" s="1">
        <v>6277.59</v>
      </c>
      <c r="F910" s="1">
        <v>13</v>
      </c>
      <c r="G910" s="1" t="s">
        <v>16</v>
      </c>
      <c r="H910" s="1">
        <v>3087.73</v>
      </c>
      <c r="I910" s="1">
        <v>3263.96</v>
      </c>
      <c r="J910" s="1" t="s">
        <v>27</v>
      </c>
      <c r="K910" s="1">
        <v>0.24</v>
      </c>
      <c r="L910" s="1" t="s">
        <v>18</v>
      </c>
      <c r="M910" s="1" t="s">
        <v>21</v>
      </c>
      <c r="N910" s="1">
        <f>SUM(Table3[[#This Row],[Unit_Price]]-Table3[[#This Row],[Unit_Cost]])</f>
        <v>176.23000000000002</v>
      </c>
      <c r="O910" s="7"/>
      <c r="P910" s="7"/>
      <c r="Q910" s="7"/>
      <c r="S910"/>
    </row>
    <row r="911" spans="1:19" x14ac:dyDescent="0.3">
      <c r="A911" s="1">
        <v>1056</v>
      </c>
      <c r="B911" s="2">
        <v>45285</v>
      </c>
      <c r="C911" s="1" t="s">
        <v>14</v>
      </c>
      <c r="D911" s="1" t="s">
        <v>50</v>
      </c>
      <c r="E911" s="1">
        <v>2809.04</v>
      </c>
      <c r="F911" s="1">
        <v>25</v>
      </c>
      <c r="G911" s="1" t="s">
        <v>26</v>
      </c>
      <c r="H911" s="1">
        <v>1154.28</v>
      </c>
      <c r="I911" s="1">
        <v>1408.4</v>
      </c>
      <c r="J911" s="1" t="s">
        <v>17</v>
      </c>
      <c r="K911" s="1">
        <v>0.28999999999999998</v>
      </c>
      <c r="L911" s="1" t="s">
        <v>25</v>
      </c>
      <c r="M911" s="1" t="s">
        <v>21</v>
      </c>
      <c r="N911" s="1">
        <f>SUM(Table3[[#This Row],[Unit_Price]]-Table3[[#This Row],[Unit_Cost]])</f>
        <v>254.12000000000012</v>
      </c>
      <c r="O911" s="7"/>
      <c r="P911" s="7"/>
      <c r="Q911" s="7"/>
      <c r="S911"/>
    </row>
    <row r="912" spans="1:19" x14ac:dyDescent="0.3">
      <c r="A912" s="1">
        <v>1025</v>
      </c>
      <c r="B912" s="2">
        <v>45016</v>
      </c>
      <c r="C912" s="1" t="s">
        <v>22</v>
      </c>
      <c r="D912" s="1" t="s">
        <v>44</v>
      </c>
      <c r="E912" s="1">
        <v>4929.5600000000004</v>
      </c>
      <c r="F912" s="1">
        <v>4</v>
      </c>
      <c r="G912" s="1" t="s">
        <v>16</v>
      </c>
      <c r="H912" s="1">
        <v>2751.06</v>
      </c>
      <c r="I912" s="1">
        <v>2976.0099999999902</v>
      </c>
      <c r="J912" s="1" t="s">
        <v>17</v>
      </c>
      <c r="K912" s="1">
        <v>0.28000000000000003</v>
      </c>
      <c r="L912" s="1" t="s">
        <v>28</v>
      </c>
      <c r="M912" s="1" t="s">
        <v>19</v>
      </c>
      <c r="N912" s="1">
        <f>SUM(Table3[[#This Row],[Unit_Price]]-Table3[[#This Row],[Unit_Cost]])</f>
        <v>224.94999999999027</v>
      </c>
      <c r="O912" s="7"/>
      <c r="P912" s="7"/>
      <c r="Q912" s="7"/>
      <c r="S912"/>
    </row>
    <row r="913" spans="1:19" x14ac:dyDescent="0.3">
      <c r="A913" s="1">
        <v>1067</v>
      </c>
      <c r="B913" s="2">
        <v>45100</v>
      </c>
      <c r="C913" s="1" t="s">
        <v>14</v>
      </c>
      <c r="D913" s="1" t="s">
        <v>45</v>
      </c>
      <c r="E913" s="1">
        <v>914.5</v>
      </c>
      <c r="F913" s="1">
        <v>11</v>
      </c>
      <c r="G913" s="1" t="s">
        <v>16</v>
      </c>
      <c r="H913" s="1">
        <v>3435.68</v>
      </c>
      <c r="I913" s="1">
        <v>3552.6299999999901</v>
      </c>
      <c r="J913" s="1" t="s">
        <v>27</v>
      </c>
      <c r="K913" s="1">
        <v>0.27</v>
      </c>
      <c r="L913" s="1" t="s">
        <v>18</v>
      </c>
      <c r="M913" s="1" t="s">
        <v>21</v>
      </c>
      <c r="N913" s="1">
        <f>SUM(Table3[[#This Row],[Unit_Price]]-Table3[[#This Row],[Unit_Cost]])</f>
        <v>116.94999999999027</v>
      </c>
      <c r="O913" s="7"/>
      <c r="P913" s="7"/>
      <c r="Q913" s="7"/>
      <c r="S913"/>
    </row>
    <row r="914" spans="1:19" x14ac:dyDescent="0.3">
      <c r="A914" s="1">
        <v>1096</v>
      </c>
      <c r="B914" s="2">
        <v>45048</v>
      </c>
      <c r="C914" s="1" t="s">
        <v>33</v>
      </c>
      <c r="D914" s="1" t="s">
        <v>46</v>
      </c>
      <c r="E914" s="1">
        <v>4649.88</v>
      </c>
      <c r="F914" s="1">
        <v>32</v>
      </c>
      <c r="G914" s="1" t="s">
        <v>16</v>
      </c>
      <c r="H914" s="1">
        <v>991.63</v>
      </c>
      <c r="I914" s="1">
        <v>1065.55</v>
      </c>
      <c r="J914" s="1" t="s">
        <v>17</v>
      </c>
      <c r="K914" s="1">
        <v>0.22</v>
      </c>
      <c r="L914" s="1" t="s">
        <v>25</v>
      </c>
      <c r="M914" s="1" t="s">
        <v>21</v>
      </c>
      <c r="N914" s="1">
        <f>SUM(Table3[[#This Row],[Unit_Price]]-Table3[[#This Row],[Unit_Cost]])</f>
        <v>73.919999999999959</v>
      </c>
      <c r="O914" s="7"/>
      <c r="P914" s="7"/>
      <c r="Q914" s="7"/>
      <c r="S914"/>
    </row>
    <row r="915" spans="1:19" x14ac:dyDescent="0.3">
      <c r="A915" s="1">
        <v>1067</v>
      </c>
      <c r="B915" s="2">
        <v>45069</v>
      </c>
      <c r="C915" s="1" t="s">
        <v>14</v>
      </c>
      <c r="D915" s="1" t="s">
        <v>47</v>
      </c>
      <c r="E915" s="1">
        <v>3133.99</v>
      </c>
      <c r="F915" s="1">
        <v>49</v>
      </c>
      <c r="G915" s="1" t="s">
        <v>16</v>
      </c>
      <c r="H915" s="1">
        <v>2628.38</v>
      </c>
      <c r="I915" s="1">
        <v>2644.54</v>
      </c>
      <c r="J915" s="1" t="s">
        <v>17</v>
      </c>
      <c r="K915" s="1">
        <v>0.11</v>
      </c>
      <c r="L915" s="1" t="s">
        <v>18</v>
      </c>
      <c r="M915" s="1" t="s">
        <v>19</v>
      </c>
      <c r="N915" s="1">
        <f>SUM(Table3[[#This Row],[Unit_Price]]-Table3[[#This Row],[Unit_Cost]])</f>
        <v>16.159999999999854</v>
      </c>
      <c r="O915" s="7"/>
      <c r="P915" s="7"/>
      <c r="Q915" s="7"/>
      <c r="S915"/>
    </row>
    <row r="916" spans="1:19" x14ac:dyDescent="0.3">
      <c r="A916" s="1">
        <v>1027</v>
      </c>
      <c r="B916" s="2">
        <v>45032</v>
      </c>
      <c r="C916" s="1" t="s">
        <v>33</v>
      </c>
      <c r="D916" s="1" t="s">
        <v>48</v>
      </c>
      <c r="E916" s="1">
        <v>8241.57</v>
      </c>
      <c r="F916" s="1">
        <v>7</v>
      </c>
      <c r="G916" s="1" t="s">
        <v>24</v>
      </c>
      <c r="H916" s="1">
        <v>2371.85</v>
      </c>
      <c r="I916" s="1">
        <v>2457.29</v>
      </c>
      <c r="J916" s="1" t="s">
        <v>27</v>
      </c>
      <c r="K916" s="1">
        <v>0.03</v>
      </c>
      <c r="L916" s="1" t="s">
        <v>18</v>
      </c>
      <c r="M916" s="1" t="s">
        <v>21</v>
      </c>
      <c r="N916" s="1">
        <f>SUM(Table3[[#This Row],[Unit_Price]]-Table3[[#This Row],[Unit_Cost]])</f>
        <v>85.440000000000055</v>
      </c>
      <c r="O916" s="7"/>
      <c r="P916" s="7"/>
      <c r="Q916" s="7"/>
      <c r="S916"/>
    </row>
    <row r="917" spans="1:19" x14ac:dyDescent="0.3">
      <c r="A917" s="1">
        <v>1093</v>
      </c>
      <c r="B917" s="2">
        <v>45231</v>
      </c>
      <c r="C917" s="1" t="s">
        <v>29</v>
      </c>
      <c r="D917" s="1" t="s">
        <v>49</v>
      </c>
      <c r="E917" s="1">
        <v>664.09</v>
      </c>
      <c r="F917" s="1">
        <v>46</v>
      </c>
      <c r="G917" s="1" t="s">
        <v>26</v>
      </c>
      <c r="H917" s="1">
        <v>401.64</v>
      </c>
      <c r="I917" s="1">
        <v>757.26</v>
      </c>
      <c r="J917" s="1" t="s">
        <v>27</v>
      </c>
      <c r="K917" s="1">
        <v>0.21</v>
      </c>
      <c r="L917" s="1" t="s">
        <v>28</v>
      </c>
      <c r="M917" s="1" t="s">
        <v>21</v>
      </c>
      <c r="N917" s="1">
        <f>SUM(Table3[[#This Row],[Unit_Price]]-Table3[[#This Row],[Unit_Cost]])</f>
        <v>355.62</v>
      </c>
      <c r="O917" s="7"/>
      <c r="P917" s="7"/>
      <c r="Q917" s="7"/>
      <c r="S917"/>
    </row>
    <row r="918" spans="1:19" x14ac:dyDescent="0.3">
      <c r="A918" s="1">
        <v>1032</v>
      </c>
      <c r="B918" s="2">
        <v>45286</v>
      </c>
      <c r="C918" s="1" t="s">
        <v>22</v>
      </c>
      <c r="D918" s="1" t="s">
        <v>50</v>
      </c>
      <c r="E918" s="1">
        <v>4244.21</v>
      </c>
      <c r="F918" s="1">
        <v>11</v>
      </c>
      <c r="G918" s="1" t="s">
        <v>26</v>
      </c>
      <c r="H918" s="1">
        <v>4100.62</v>
      </c>
      <c r="I918" s="1">
        <v>4230</v>
      </c>
      <c r="J918" s="1" t="s">
        <v>27</v>
      </c>
      <c r="K918" s="1">
        <v>0.28999999999999998</v>
      </c>
      <c r="L918" s="1" t="s">
        <v>25</v>
      </c>
      <c r="M918" s="1" t="s">
        <v>19</v>
      </c>
      <c r="N918" s="1">
        <f>SUM(Table3[[#This Row],[Unit_Price]]-Table3[[#This Row],[Unit_Cost]])</f>
        <v>129.38000000000011</v>
      </c>
      <c r="O918" s="7"/>
      <c r="P918" s="7"/>
      <c r="Q918" s="7"/>
      <c r="S918"/>
    </row>
    <row r="919" spans="1:19" x14ac:dyDescent="0.3">
      <c r="A919" s="1">
        <v>1050</v>
      </c>
      <c r="B919" s="2">
        <v>45243</v>
      </c>
      <c r="C919" s="1" t="s">
        <v>33</v>
      </c>
      <c r="D919" s="1" t="s">
        <v>44</v>
      </c>
      <c r="E919" s="1">
        <v>4638.47</v>
      </c>
      <c r="F919" s="1">
        <v>28</v>
      </c>
      <c r="G919" s="1" t="s">
        <v>24</v>
      </c>
      <c r="H919" s="1">
        <v>1711.63</v>
      </c>
      <c r="I919" s="1">
        <v>1951.24</v>
      </c>
      <c r="J919" s="1" t="s">
        <v>27</v>
      </c>
      <c r="K919" s="1">
        <v>0.22</v>
      </c>
      <c r="L919" s="1" t="s">
        <v>18</v>
      </c>
      <c r="M919" s="1" t="s">
        <v>19</v>
      </c>
      <c r="N919" s="1">
        <f>SUM(Table3[[#This Row],[Unit_Price]]-Table3[[#This Row],[Unit_Cost]])</f>
        <v>239.6099999999999</v>
      </c>
      <c r="O919" s="7"/>
      <c r="P919" s="7"/>
      <c r="Q919" s="7"/>
      <c r="S919"/>
    </row>
    <row r="920" spans="1:19" x14ac:dyDescent="0.3">
      <c r="A920" s="1">
        <v>1061</v>
      </c>
      <c r="B920" s="2">
        <v>45049</v>
      </c>
      <c r="C920" s="1" t="s">
        <v>14</v>
      </c>
      <c r="D920" s="1" t="s">
        <v>45</v>
      </c>
      <c r="E920" s="1">
        <v>7277.56</v>
      </c>
      <c r="F920" s="1">
        <v>41</v>
      </c>
      <c r="G920" s="1" t="s">
        <v>16</v>
      </c>
      <c r="H920" s="1">
        <v>2894.18</v>
      </c>
      <c r="I920" s="1">
        <v>3193.92</v>
      </c>
      <c r="J920" s="1" t="s">
        <v>27</v>
      </c>
      <c r="K920" s="1">
        <v>0.28000000000000003</v>
      </c>
      <c r="L920" s="1" t="s">
        <v>25</v>
      </c>
      <c r="M920" s="1" t="s">
        <v>21</v>
      </c>
      <c r="N920" s="1">
        <f>SUM(Table3[[#This Row],[Unit_Price]]-Table3[[#This Row],[Unit_Cost]])</f>
        <v>299.74000000000024</v>
      </c>
      <c r="O920" s="7"/>
      <c r="P920" s="7"/>
      <c r="Q920" s="7"/>
      <c r="S920"/>
    </row>
    <row r="921" spans="1:19" x14ac:dyDescent="0.3">
      <c r="A921" s="1">
        <v>1051</v>
      </c>
      <c r="B921" s="2">
        <v>44935</v>
      </c>
      <c r="C921" s="1" t="s">
        <v>22</v>
      </c>
      <c r="D921" s="1" t="s">
        <v>46</v>
      </c>
      <c r="E921" s="1">
        <v>5785.45</v>
      </c>
      <c r="F921" s="1">
        <v>23</v>
      </c>
      <c r="G921" s="1" t="s">
        <v>16</v>
      </c>
      <c r="H921" s="1">
        <v>2598.1799999999998</v>
      </c>
      <c r="I921" s="1">
        <v>3042.73</v>
      </c>
      <c r="J921" s="1" t="s">
        <v>17</v>
      </c>
      <c r="K921" s="1">
        <v>0.24</v>
      </c>
      <c r="L921" s="1" t="s">
        <v>28</v>
      </c>
      <c r="M921" s="1" t="s">
        <v>19</v>
      </c>
      <c r="N921" s="1">
        <f>SUM(Table3[[#This Row],[Unit_Price]]-Table3[[#This Row],[Unit_Cost]])</f>
        <v>444.55000000000018</v>
      </c>
      <c r="O921" s="7"/>
      <c r="P921" s="7"/>
      <c r="Q921" s="7"/>
      <c r="S921"/>
    </row>
    <row r="922" spans="1:19" x14ac:dyDescent="0.3">
      <c r="A922" s="1">
        <v>1019</v>
      </c>
      <c r="B922" s="2">
        <v>45188</v>
      </c>
      <c r="C922" s="1" t="s">
        <v>29</v>
      </c>
      <c r="D922" s="1" t="s">
        <v>47</v>
      </c>
      <c r="E922" s="1">
        <v>6705.4</v>
      </c>
      <c r="F922" s="1">
        <v>45</v>
      </c>
      <c r="G922" s="1" t="s">
        <v>26</v>
      </c>
      <c r="H922" s="1">
        <v>2590.64</v>
      </c>
      <c r="I922" s="1">
        <v>3036.18</v>
      </c>
      <c r="J922" s="1" t="s">
        <v>27</v>
      </c>
      <c r="K922" s="1">
        <v>0.05</v>
      </c>
      <c r="L922" s="1" t="s">
        <v>25</v>
      </c>
      <c r="M922" s="1" t="s">
        <v>21</v>
      </c>
      <c r="N922" s="1">
        <f>SUM(Table3[[#This Row],[Unit_Price]]-Table3[[#This Row],[Unit_Cost]])</f>
        <v>445.53999999999996</v>
      </c>
      <c r="O922" s="7"/>
      <c r="P922" s="7"/>
      <c r="Q922" s="7"/>
      <c r="S922"/>
    </row>
    <row r="923" spans="1:19" x14ac:dyDescent="0.3">
      <c r="A923" s="1">
        <v>1021</v>
      </c>
      <c r="B923" s="2">
        <v>44999</v>
      </c>
      <c r="C923" s="1" t="s">
        <v>22</v>
      </c>
      <c r="D923" s="1" t="s">
        <v>48</v>
      </c>
      <c r="E923" s="1">
        <v>7792.79</v>
      </c>
      <c r="F923" s="1">
        <v>23</v>
      </c>
      <c r="G923" s="1" t="s">
        <v>24</v>
      </c>
      <c r="H923" s="1">
        <v>580.75</v>
      </c>
      <c r="I923" s="1">
        <v>956.16</v>
      </c>
      <c r="J923" s="1" t="s">
        <v>17</v>
      </c>
      <c r="K923" s="1">
        <v>7.0000000000000007E-2</v>
      </c>
      <c r="L923" s="1" t="s">
        <v>18</v>
      </c>
      <c r="M923" s="1" t="s">
        <v>21</v>
      </c>
      <c r="N923" s="1">
        <f>SUM(Table3[[#This Row],[Unit_Price]]-Table3[[#This Row],[Unit_Cost]])</f>
        <v>375.40999999999997</v>
      </c>
      <c r="O923" s="7"/>
      <c r="P923" s="7"/>
      <c r="Q923" s="7"/>
      <c r="S923"/>
    </row>
    <row r="924" spans="1:19" x14ac:dyDescent="0.3">
      <c r="A924" s="1">
        <v>1005</v>
      </c>
      <c r="B924" s="2">
        <v>45285</v>
      </c>
      <c r="C924" s="1" t="s">
        <v>33</v>
      </c>
      <c r="D924" s="1" t="s">
        <v>49</v>
      </c>
      <c r="E924" s="1">
        <v>8635.81</v>
      </c>
      <c r="F924" s="1">
        <v>28</v>
      </c>
      <c r="G924" s="1" t="s">
        <v>16</v>
      </c>
      <c r="H924" s="1">
        <v>2146.2399999999998</v>
      </c>
      <c r="I924" s="1">
        <v>2173.4699999999998</v>
      </c>
      <c r="J924" s="1" t="s">
        <v>17</v>
      </c>
      <c r="K924" s="1">
        <v>0.1</v>
      </c>
      <c r="L924" s="1" t="s">
        <v>18</v>
      </c>
      <c r="M924" s="1" t="s">
        <v>21</v>
      </c>
      <c r="N924" s="1">
        <f>SUM(Table3[[#This Row],[Unit_Price]]-Table3[[#This Row],[Unit_Cost]])</f>
        <v>27.230000000000018</v>
      </c>
      <c r="O924" s="7"/>
      <c r="P924" s="7"/>
      <c r="Q924" s="7"/>
      <c r="S924"/>
    </row>
    <row r="925" spans="1:19" x14ac:dyDescent="0.3">
      <c r="A925" s="1">
        <v>1082</v>
      </c>
      <c r="B925" s="2">
        <v>45149</v>
      </c>
      <c r="C925" s="1" t="s">
        <v>29</v>
      </c>
      <c r="D925" s="1" t="s">
        <v>50</v>
      </c>
      <c r="E925" s="1">
        <v>3207.37</v>
      </c>
      <c r="F925" s="1">
        <v>43</v>
      </c>
      <c r="G925" s="1" t="s">
        <v>16</v>
      </c>
      <c r="H925" s="1">
        <v>2289.2199999999998</v>
      </c>
      <c r="I925" s="1">
        <v>2581</v>
      </c>
      <c r="J925" s="1" t="s">
        <v>27</v>
      </c>
      <c r="K925" s="1">
        <v>0.05</v>
      </c>
      <c r="L925" s="1" t="s">
        <v>25</v>
      </c>
      <c r="M925" s="1" t="s">
        <v>19</v>
      </c>
      <c r="N925" s="1">
        <f>SUM(Table3[[#This Row],[Unit_Price]]-Table3[[#This Row],[Unit_Cost]])</f>
        <v>291.7800000000002</v>
      </c>
      <c r="O925" s="7"/>
      <c r="P925" s="7"/>
      <c r="Q925" s="7"/>
      <c r="S925"/>
    </row>
    <row r="926" spans="1:19" x14ac:dyDescent="0.3">
      <c r="A926" s="1">
        <v>1092</v>
      </c>
      <c r="B926" s="2">
        <v>44967</v>
      </c>
      <c r="C926" s="1" t="s">
        <v>14</v>
      </c>
      <c r="D926" s="1" t="s">
        <v>44</v>
      </c>
      <c r="E926" s="1">
        <v>5426.42</v>
      </c>
      <c r="F926" s="1">
        <v>47</v>
      </c>
      <c r="G926" s="1" t="s">
        <v>16</v>
      </c>
      <c r="H926" s="1">
        <v>3681.53</v>
      </c>
      <c r="I926" s="1">
        <v>4076.96</v>
      </c>
      <c r="J926" s="1" t="s">
        <v>17</v>
      </c>
      <c r="K926" s="1">
        <v>0.17</v>
      </c>
      <c r="L926" s="1" t="s">
        <v>18</v>
      </c>
      <c r="M926" s="1" t="s">
        <v>21</v>
      </c>
      <c r="N926" s="1">
        <f>SUM(Table3[[#This Row],[Unit_Price]]-Table3[[#This Row],[Unit_Cost]])</f>
        <v>395.42999999999984</v>
      </c>
      <c r="O926" s="7"/>
      <c r="P926" s="7"/>
      <c r="Q926" s="7"/>
      <c r="S926"/>
    </row>
    <row r="927" spans="1:19" x14ac:dyDescent="0.3">
      <c r="A927" s="1">
        <v>1042</v>
      </c>
      <c r="B927" s="2">
        <v>45130</v>
      </c>
      <c r="C927" s="1" t="s">
        <v>29</v>
      </c>
      <c r="D927" s="1" t="s">
        <v>45</v>
      </c>
      <c r="E927" s="1">
        <v>8417.07</v>
      </c>
      <c r="F927" s="1">
        <v>26</v>
      </c>
      <c r="G927" s="1" t="s">
        <v>31</v>
      </c>
      <c r="H927" s="1">
        <v>4208.09</v>
      </c>
      <c r="I927" s="1">
        <v>4226.5600000000004</v>
      </c>
      <c r="J927" s="1" t="s">
        <v>17</v>
      </c>
      <c r="K927" s="1">
        <v>0.28999999999999998</v>
      </c>
      <c r="L927" s="1" t="s">
        <v>18</v>
      </c>
      <c r="M927" s="1" t="s">
        <v>21</v>
      </c>
      <c r="N927" s="1">
        <f>SUM(Table3[[#This Row],[Unit_Price]]-Table3[[#This Row],[Unit_Cost]])</f>
        <v>18.470000000000255</v>
      </c>
      <c r="O927" s="7"/>
      <c r="P927" s="7"/>
      <c r="Q927" s="7"/>
      <c r="S927"/>
    </row>
    <row r="928" spans="1:19" x14ac:dyDescent="0.3">
      <c r="A928" s="1">
        <v>1061</v>
      </c>
      <c r="B928" s="2">
        <v>45190</v>
      </c>
      <c r="C928" s="1" t="s">
        <v>29</v>
      </c>
      <c r="D928" s="1" t="s">
        <v>46</v>
      </c>
      <c r="E928" s="1">
        <v>9895.57</v>
      </c>
      <c r="F928" s="1">
        <v>25</v>
      </c>
      <c r="G928" s="1" t="s">
        <v>24</v>
      </c>
      <c r="H928" s="1">
        <v>2747.66</v>
      </c>
      <c r="I928" s="1">
        <v>3027.0099999999902</v>
      </c>
      <c r="J928" s="1" t="s">
        <v>27</v>
      </c>
      <c r="K928" s="1">
        <v>0.23</v>
      </c>
      <c r="L928" s="1" t="s">
        <v>18</v>
      </c>
      <c r="M928" s="1" t="s">
        <v>19</v>
      </c>
      <c r="N928" s="1">
        <f>SUM(Table3[[#This Row],[Unit_Price]]-Table3[[#This Row],[Unit_Cost]])</f>
        <v>279.34999999999036</v>
      </c>
      <c r="O928" s="7"/>
      <c r="P928" s="7"/>
      <c r="Q928" s="7"/>
      <c r="S928"/>
    </row>
    <row r="929" spans="1:19" x14ac:dyDescent="0.3">
      <c r="A929" s="1">
        <v>1022</v>
      </c>
      <c r="B929" s="2">
        <v>45254</v>
      </c>
      <c r="C929" s="1" t="s">
        <v>32</v>
      </c>
      <c r="D929" s="1" t="s">
        <v>47</v>
      </c>
      <c r="E929" s="1">
        <v>8906.24</v>
      </c>
      <c r="F929" s="1">
        <v>29</v>
      </c>
      <c r="G929" s="1" t="s">
        <v>16</v>
      </c>
      <c r="H929" s="1">
        <v>479.58</v>
      </c>
      <c r="I929" s="1">
        <v>909.88</v>
      </c>
      <c r="J929" s="1" t="s">
        <v>17</v>
      </c>
      <c r="K929" s="1">
        <v>0.13</v>
      </c>
      <c r="L929" s="1" t="s">
        <v>28</v>
      </c>
      <c r="M929" s="1" t="s">
        <v>21</v>
      </c>
      <c r="N929" s="1">
        <f>SUM(Table3[[#This Row],[Unit_Price]]-Table3[[#This Row],[Unit_Cost]])</f>
        <v>430.3</v>
      </c>
      <c r="O929" s="7"/>
      <c r="P929" s="7"/>
      <c r="Q929" s="7"/>
      <c r="S929"/>
    </row>
    <row r="930" spans="1:19" x14ac:dyDescent="0.3">
      <c r="A930" s="1">
        <v>1021</v>
      </c>
      <c r="B930" s="2">
        <v>45104</v>
      </c>
      <c r="C930" s="1" t="s">
        <v>29</v>
      </c>
      <c r="D930" s="1" t="s">
        <v>48</v>
      </c>
      <c r="E930" s="1">
        <v>3777.53</v>
      </c>
      <c r="F930" s="1">
        <v>19</v>
      </c>
      <c r="G930" s="1" t="s">
        <v>31</v>
      </c>
      <c r="H930" s="1">
        <v>1222.4000000000001</v>
      </c>
      <c r="I930" s="1">
        <v>1464.71</v>
      </c>
      <c r="J930" s="1" t="s">
        <v>27</v>
      </c>
      <c r="K930" s="1">
        <v>0</v>
      </c>
      <c r="L930" s="1" t="s">
        <v>28</v>
      </c>
      <c r="M930" s="1" t="s">
        <v>21</v>
      </c>
      <c r="N930" s="1">
        <f>SUM(Table3[[#This Row],[Unit_Price]]-Table3[[#This Row],[Unit_Cost]])</f>
        <v>242.30999999999995</v>
      </c>
      <c r="O930" s="7"/>
      <c r="P930" s="7"/>
      <c r="Q930" s="7"/>
      <c r="S930"/>
    </row>
    <row r="931" spans="1:19" x14ac:dyDescent="0.3">
      <c r="A931" s="1">
        <v>1070</v>
      </c>
      <c r="B931" s="2">
        <v>45274</v>
      </c>
      <c r="C931" s="1" t="s">
        <v>29</v>
      </c>
      <c r="D931" s="1" t="s">
        <v>49</v>
      </c>
      <c r="E931" s="1">
        <v>2032.15</v>
      </c>
      <c r="F931" s="1">
        <v>33</v>
      </c>
      <c r="G931" s="1" t="s">
        <v>24</v>
      </c>
      <c r="H931" s="1">
        <v>866.42</v>
      </c>
      <c r="I931" s="1">
        <v>878.43</v>
      </c>
      <c r="J931" s="1" t="s">
        <v>27</v>
      </c>
      <c r="K931" s="1">
        <v>0.09</v>
      </c>
      <c r="L931" s="1" t="s">
        <v>18</v>
      </c>
      <c r="M931" s="1" t="s">
        <v>21</v>
      </c>
      <c r="N931" s="1">
        <f>SUM(Table3[[#This Row],[Unit_Price]]-Table3[[#This Row],[Unit_Cost]])</f>
        <v>12.009999999999991</v>
      </c>
      <c r="O931" s="7"/>
      <c r="P931" s="7"/>
      <c r="Q931" s="7"/>
      <c r="S931"/>
    </row>
    <row r="932" spans="1:19" x14ac:dyDescent="0.3">
      <c r="A932" s="1">
        <v>1001</v>
      </c>
      <c r="B932" s="2">
        <v>45244</v>
      </c>
      <c r="C932" s="1" t="s">
        <v>22</v>
      </c>
      <c r="D932" s="1" t="s">
        <v>50</v>
      </c>
      <c r="E932" s="1">
        <v>4944.99</v>
      </c>
      <c r="F932" s="1">
        <v>36</v>
      </c>
      <c r="G932" s="1" t="s">
        <v>16</v>
      </c>
      <c r="H932" s="1">
        <v>666.84</v>
      </c>
      <c r="I932" s="1">
        <v>682.24</v>
      </c>
      <c r="J932" s="1" t="s">
        <v>27</v>
      </c>
      <c r="K932" s="1">
        <v>0.16</v>
      </c>
      <c r="L932" s="1" t="s">
        <v>25</v>
      </c>
      <c r="M932" s="1" t="s">
        <v>21</v>
      </c>
      <c r="N932" s="1">
        <f>SUM(Table3[[#This Row],[Unit_Price]]-Table3[[#This Row],[Unit_Cost]])</f>
        <v>15.399999999999977</v>
      </c>
      <c r="O932" s="7"/>
      <c r="P932" s="7"/>
      <c r="Q932" s="7"/>
      <c r="S932"/>
    </row>
    <row r="933" spans="1:19" x14ac:dyDescent="0.3">
      <c r="A933" s="1">
        <v>1005</v>
      </c>
      <c r="B933" s="2">
        <v>45010</v>
      </c>
      <c r="C933" s="1" t="s">
        <v>14</v>
      </c>
      <c r="D933" s="1" t="s">
        <v>44</v>
      </c>
      <c r="E933" s="1">
        <v>7442.25</v>
      </c>
      <c r="F933" s="1">
        <v>14</v>
      </c>
      <c r="G933" s="1" t="s">
        <v>26</v>
      </c>
      <c r="H933" s="1">
        <v>1861.2</v>
      </c>
      <c r="I933" s="1">
        <v>2075.35</v>
      </c>
      <c r="J933" s="1" t="s">
        <v>17</v>
      </c>
      <c r="K933" s="1">
        <v>0.1</v>
      </c>
      <c r="L933" s="1" t="s">
        <v>28</v>
      </c>
      <c r="M933" s="1" t="s">
        <v>21</v>
      </c>
      <c r="N933" s="1">
        <f>SUM(Table3[[#This Row],[Unit_Price]]-Table3[[#This Row],[Unit_Cost]])</f>
        <v>214.14999999999986</v>
      </c>
      <c r="O933" s="7"/>
      <c r="P933" s="7"/>
      <c r="Q933" s="7"/>
      <c r="S933"/>
    </row>
    <row r="934" spans="1:19" x14ac:dyDescent="0.3">
      <c r="A934" s="1">
        <v>1012</v>
      </c>
      <c r="B934" s="2">
        <v>45244</v>
      </c>
      <c r="C934" s="1" t="s">
        <v>22</v>
      </c>
      <c r="D934" s="1" t="s">
        <v>45</v>
      </c>
      <c r="E934" s="1">
        <v>4976.43</v>
      </c>
      <c r="F934" s="1">
        <v>14</v>
      </c>
      <c r="G934" s="1" t="s">
        <v>31</v>
      </c>
      <c r="H934" s="1">
        <v>1185.5</v>
      </c>
      <c r="I934" s="1">
        <v>1271.45</v>
      </c>
      <c r="J934" s="1" t="s">
        <v>17</v>
      </c>
      <c r="K934" s="1">
        <v>0.03</v>
      </c>
      <c r="L934" s="1" t="s">
        <v>25</v>
      </c>
      <c r="M934" s="1" t="s">
        <v>21</v>
      </c>
      <c r="N934" s="1">
        <f>SUM(Table3[[#This Row],[Unit_Price]]-Table3[[#This Row],[Unit_Cost]])</f>
        <v>85.950000000000045</v>
      </c>
      <c r="O934" s="7"/>
      <c r="P934" s="7"/>
      <c r="Q934" s="7"/>
      <c r="S934"/>
    </row>
    <row r="935" spans="1:19" x14ac:dyDescent="0.3">
      <c r="A935" s="1">
        <v>1090</v>
      </c>
      <c r="B935" s="2">
        <v>45037</v>
      </c>
      <c r="C935" s="1" t="s">
        <v>22</v>
      </c>
      <c r="D935" s="1" t="s">
        <v>46</v>
      </c>
      <c r="E935" s="1">
        <v>4883.49</v>
      </c>
      <c r="F935" s="1">
        <v>35</v>
      </c>
      <c r="G935" s="1" t="s">
        <v>31</v>
      </c>
      <c r="H935" s="1">
        <v>1130.5999999999999</v>
      </c>
      <c r="I935" s="1">
        <v>1466.1799999999901</v>
      </c>
      <c r="J935" s="1" t="s">
        <v>17</v>
      </c>
      <c r="K935" s="1">
        <v>0.13</v>
      </c>
      <c r="L935" s="1" t="s">
        <v>18</v>
      </c>
      <c r="M935" s="1" t="s">
        <v>19</v>
      </c>
      <c r="N935" s="1">
        <f>SUM(Table3[[#This Row],[Unit_Price]]-Table3[[#This Row],[Unit_Cost]])</f>
        <v>335.57999999999015</v>
      </c>
      <c r="O935" s="7"/>
      <c r="P935" s="7"/>
      <c r="Q935" s="7"/>
      <c r="S935"/>
    </row>
    <row r="936" spans="1:19" x14ac:dyDescent="0.3">
      <c r="A936" s="1">
        <v>1046</v>
      </c>
      <c r="B936" s="2">
        <v>45177</v>
      </c>
      <c r="C936" s="1" t="s">
        <v>33</v>
      </c>
      <c r="D936" s="1" t="s">
        <v>47</v>
      </c>
      <c r="E936" s="1">
        <v>8398.48</v>
      </c>
      <c r="F936" s="1">
        <v>30</v>
      </c>
      <c r="G936" s="1" t="s">
        <v>16</v>
      </c>
      <c r="H936" s="1">
        <v>320.73</v>
      </c>
      <c r="I936" s="1">
        <v>678.04</v>
      </c>
      <c r="J936" s="1" t="s">
        <v>17</v>
      </c>
      <c r="K936" s="1">
        <v>0.08</v>
      </c>
      <c r="L936" s="1" t="s">
        <v>18</v>
      </c>
      <c r="M936" s="1" t="s">
        <v>21</v>
      </c>
      <c r="N936" s="1">
        <f>SUM(Table3[[#This Row],[Unit_Price]]-Table3[[#This Row],[Unit_Cost]])</f>
        <v>357.30999999999995</v>
      </c>
      <c r="O936" s="7"/>
      <c r="P936" s="7"/>
      <c r="Q936" s="7"/>
      <c r="S936"/>
    </row>
    <row r="937" spans="1:19" x14ac:dyDescent="0.3">
      <c r="A937" s="1">
        <v>1034</v>
      </c>
      <c r="B937" s="2">
        <v>44933</v>
      </c>
      <c r="C937" s="1" t="s">
        <v>22</v>
      </c>
      <c r="D937" s="1" t="s">
        <v>48</v>
      </c>
      <c r="E937" s="1">
        <v>3677.9</v>
      </c>
      <c r="F937" s="1">
        <v>28</v>
      </c>
      <c r="G937" s="1" t="s">
        <v>16</v>
      </c>
      <c r="H937" s="1">
        <v>137.47</v>
      </c>
      <c r="I937" s="1">
        <v>234.63</v>
      </c>
      <c r="J937" s="1" t="s">
        <v>27</v>
      </c>
      <c r="K937" s="1">
        <v>0.27</v>
      </c>
      <c r="L937" s="1" t="s">
        <v>25</v>
      </c>
      <c r="M937" s="1" t="s">
        <v>21</v>
      </c>
      <c r="N937" s="1">
        <f>SUM(Table3[[#This Row],[Unit_Price]]-Table3[[#This Row],[Unit_Cost]])</f>
        <v>97.16</v>
      </c>
      <c r="O937" s="7"/>
      <c r="P937" s="7"/>
      <c r="Q937" s="7"/>
      <c r="S937"/>
    </row>
    <row r="938" spans="1:19" x14ac:dyDescent="0.3">
      <c r="A938" s="1">
        <v>1049</v>
      </c>
      <c r="B938" s="2">
        <v>45010</v>
      </c>
      <c r="C938" s="1" t="s">
        <v>32</v>
      </c>
      <c r="D938" s="1" t="s">
        <v>49</v>
      </c>
      <c r="E938" s="1">
        <v>8611.9699999999993</v>
      </c>
      <c r="F938" s="1">
        <v>17</v>
      </c>
      <c r="G938" s="1" t="s">
        <v>31</v>
      </c>
      <c r="H938" s="1">
        <v>558.70000000000005</v>
      </c>
      <c r="I938" s="1">
        <v>1004.08</v>
      </c>
      <c r="J938" s="1" t="s">
        <v>17</v>
      </c>
      <c r="K938" s="1">
        <v>0.03</v>
      </c>
      <c r="L938" s="1" t="s">
        <v>28</v>
      </c>
      <c r="M938" s="1" t="s">
        <v>19</v>
      </c>
      <c r="N938" s="1">
        <f>SUM(Table3[[#This Row],[Unit_Price]]-Table3[[#This Row],[Unit_Cost]])</f>
        <v>445.38</v>
      </c>
      <c r="O938" s="7"/>
      <c r="P938" s="7"/>
      <c r="Q938" s="7"/>
      <c r="S938"/>
    </row>
    <row r="939" spans="1:19" x14ac:dyDescent="0.3">
      <c r="A939" s="1">
        <v>1078</v>
      </c>
      <c r="B939" s="2">
        <v>45134</v>
      </c>
      <c r="C939" s="1" t="s">
        <v>32</v>
      </c>
      <c r="D939" s="1" t="s">
        <v>50</v>
      </c>
      <c r="E939" s="1">
        <v>4127.37</v>
      </c>
      <c r="F939" s="1">
        <v>3</v>
      </c>
      <c r="G939" s="1" t="s">
        <v>26</v>
      </c>
      <c r="H939" s="1">
        <v>902.38</v>
      </c>
      <c r="I939" s="1">
        <v>1128.9100000000001</v>
      </c>
      <c r="J939" s="1" t="s">
        <v>27</v>
      </c>
      <c r="K939" s="1">
        <v>0.01</v>
      </c>
      <c r="L939" s="1" t="s">
        <v>25</v>
      </c>
      <c r="M939" s="1" t="s">
        <v>21</v>
      </c>
      <c r="N939" s="1">
        <f>SUM(Table3[[#This Row],[Unit_Price]]-Table3[[#This Row],[Unit_Cost]])</f>
        <v>226.53000000000009</v>
      </c>
      <c r="O939" s="7"/>
      <c r="P939" s="7"/>
      <c r="Q939" s="7"/>
      <c r="S939"/>
    </row>
    <row r="940" spans="1:19" x14ac:dyDescent="0.3">
      <c r="A940" s="1">
        <v>1090</v>
      </c>
      <c r="B940" s="2">
        <v>45240</v>
      </c>
      <c r="C940" s="1" t="s">
        <v>33</v>
      </c>
      <c r="D940" s="1" t="s">
        <v>44</v>
      </c>
      <c r="E940" s="1">
        <v>3349.51</v>
      </c>
      <c r="F940" s="1">
        <v>16</v>
      </c>
      <c r="G940" s="1" t="s">
        <v>26</v>
      </c>
      <c r="H940" s="1">
        <v>2183.37</v>
      </c>
      <c r="I940" s="1">
        <v>2263.3599999999901</v>
      </c>
      <c r="J940" s="1" t="s">
        <v>17</v>
      </c>
      <c r="K940" s="1">
        <v>0</v>
      </c>
      <c r="L940" s="1" t="s">
        <v>25</v>
      </c>
      <c r="M940" s="1" t="s">
        <v>21</v>
      </c>
      <c r="N940" s="1">
        <f>SUM(Table3[[#This Row],[Unit_Price]]-Table3[[#This Row],[Unit_Cost]])</f>
        <v>79.989999999990232</v>
      </c>
      <c r="O940" s="7"/>
      <c r="P940" s="7"/>
      <c r="Q940" s="7"/>
      <c r="S940"/>
    </row>
    <row r="941" spans="1:19" x14ac:dyDescent="0.3">
      <c r="A941" s="1">
        <v>1045</v>
      </c>
      <c r="B941" s="2">
        <v>44948</v>
      </c>
      <c r="C941" s="1" t="s">
        <v>14</v>
      </c>
      <c r="D941" s="1" t="s">
        <v>45</v>
      </c>
      <c r="E941" s="1">
        <v>4594.5</v>
      </c>
      <c r="F941" s="1">
        <v>46</v>
      </c>
      <c r="G941" s="1" t="s">
        <v>24</v>
      </c>
      <c r="H941" s="1">
        <v>2577.08</v>
      </c>
      <c r="I941" s="1">
        <v>2961.56</v>
      </c>
      <c r="J941" s="1" t="s">
        <v>17</v>
      </c>
      <c r="K941" s="1">
        <v>0.1</v>
      </c>
      <c r="L941" s="1" t="s">
        <v>18</v>
      </c>
      <c r="M941" s="1" t="s">
        <v>19</v>
      </c>
      <c r="N941" s="1">
        <f>SUM(Table3[[#This Row],[Unit_Price]]-Table3[[#This Row],[Unit_Cost]])</f>
        <v>384.48</v>
      </c>
      <c r="O941" s="7"/>
      <c r="P941" s="7"/>
      <c r="Q941" s="7"/>
      <c r="S941"/>
    </row>
    <row r="942" spans="1:19" x14ac:dyDescent="0.3">
      <c r="A942" s="1">
        <v>1027</v>
      </c>
      <c r="B942" s="2">
        <v>44929</v>
      </c>
      <c r="C942" s="1" t="s">
        <v>14</v>
      </c>
      <c r="D942" s="1" t="s">
        <v>46</v>
      </c>
      <c r="E942" s="1">
        <v>7648.22</v>
      </c>
      <c r="F942" s="1">
        <v>30</v>
      </c>
      <c r="G942" s="1" t="s">
        <v>16</v>
      </c>
      <c r="H942" s="1">
        <v>745.93</v>
      </c>
      <c r="I942" s="1">
        <v>1143.02</v>
      </c>
      <c r="J942" s="1" t="s">
        <v>17</v>
      </c>
      <c r="K942" s="1">
        <v>0.2</v>
      </c>
      <c r="L942" s="1" t="s">
        <v>28</v>
      </c>
      <c r="M942" s="1" t="s">
        <v>19</v>
      </c>
      <c r="N942" s="1">
        <f>SUM(Table3[[#This Row],[Unit_Price]]-Table3[[#This Row],[Unit_Cost]])</f>
        <v>397.09000000000003</v>
      </c>
      <c r="O942" s="7"/>
      <c r="P942" s="7"/>
      <c r="Q942" s="7"/>
      <c r="S942"/>
    </row>
    <row r="943" spans="1:19" x14ac:dyDescent="0.3">
      <c r="A943" s="1">
        <v>1073</v>
      </c>
      <c r="B943" s="2">
        <v>45053</v>
      </c>
      <c r="C943" s="1" t="s">
        <v>22</v>
      </c>
      <c r="D943" s="1" t="s">
        <v>47</v>
      </c>
      <c r="E943" s="1">
        <v>1347.42</v>
      </c>
      <c r="F943" s="1">
        <v>29</v>
      </c>
      <c r="G943" s="1" t="s">
        <v>26</v>
      </c>
      <c r="H943" s="1">
        <v>2152.6799999999998</v>
      </c>
      <c r="I943" s="1">
        <v>2475.9299999999998</v>
      </c>
      <c r="J943" s="1" t="s">
        <v>17</v>
      </c>
      <c r="K943" s="1">
        <v>0.22</v>
      </c>
      <c r="L943" s="1" t="s">
        <v>25</v>
      </c>
      <c r="M943" s="1" t="s">
        <v>19</v>
      </c>
      <c r="N943" s="1">
        <f>SUM(Table3[[#This Row],[Unit_Price]]-Table3[[#This Row],[Unit_Cost]])</f>
        <v>323.25</v>
      </c>
      <c r="O943" s="7"/>
      <c r="P943" s="7"/>
      <c r="Q943" s="7"/>
      <c r="S943"/>
    </row>
    <row r="944" spans="1:19" x14ac:dyDescent="0.3">
      <c r="A944" s="1">
        <v>1026</v>
      </c>
      <c r="B944" s="2">
        <v>45223</v>
      </c>
      <c r="C944" s="1" t="s">
        <v>22</v>
      </c>
      <c r="D944" s="1" t="s">
        <v>48</v>
      </c>
      <c r="E944" s="1">
        <v>2044.55</v>
      </c>
      <c r="F944" s="1">
        <v>45</v>
      </c>
      <c r="G944" s="1" t="s">
        <v>24</v>
      </c>
      <c r="H944" s="1">
        <v>1741.66</v>
      </c>
      <c r="I944" s="1">
        <v>2169.86</v>
      </c>
      <c r="J944" s="1" t="s">
        <v>17</v>
      </c>
      <c r="K944" s="1">
        <v>0.14000000000000001</v>
      </c>
      <c r="L944" s="1" t="s">
        <v>28</v>
      </c>
      <c r="M944" s="1" t="s">
        <v>19</v>
      </c>
      <c r="N944" s="1">
        <f>SUM(Table3[[#This Row],[Unit_Price]]-Table3[[#This Row],[Unit_Cost]])</f>
        <v>428.20000000000005</v>
      </c>
      <c r="O944" s="7"/>
      <c r="P944" s="7"/>
      <c r="Q944" s="7"/>
      <c r="S944"/>
    </row>
    <row r="945" spans="1:19" x14ac:dyDescent="0.3">
      <c r="A945" s="1">
        <v>1047</v>
      </c>
      <c r="B945" s="2">
        <v>45114</v>
      </c>
      <c r="C945" s="1" t="s">
        <v>22</v>
      </c>
      <c r="D945" s="1" t="s">
        <v>49</v>
      </c>
      <c r="E945" s="1">
        <v>9519.2999999999993</v>
      </c>
      <c r="F945" s="1">
        <v>15</v>
      </c>
      <c r="G945" s="1" t="s">
        <v>26</v>
      </c>
      <c r="H945" s="1">
        <v>957.95</v>
      </c>
      <c r="I945" s="1">
        <v>1329.26</v>
      </c>
      <c r="J945" s="1" t="s">
        <v>27</v>
      </c>
      <c r="K945" s="1">
        <v>0.21</v>
      </c>
      <c r="L945" s="1" t="s">
        <v>18</v>
      </c>
      <c r="M945" s="1" t="s">
        <v>19</v>
      </c>
      <c r="N945" s="1">
        <f>SUM(Table3[[#This Row],[Unit_Price]]-Table3[[#This Row],[Unit_Cost]])</f>
        <v>371.30999999999995</v>
      </c>
      <c r="O945" s="7"/>
      <c r="P945" s="7"/>
      <c r="Q945" s="7"/>
      <c r="S945"/>
    </row>
    <row r="946" spans="1:19" x14ac:dyDescent="0.3">
      <c r="A946" s="1">
        <v>1086</v>
      </c>
      <c r="B946" s="2">
        <v>45288</v>
      </c>
      <c r="C946" s="1" t="s">
        <v>14</v>
      </c>
      <c r="D946" s="1" t="s">
        <v>50</v>
      </c>
      <c r="E946" s="1">
        <v>1837.37</v>
      </c>
      <c r="F946" s="1">
        <v>46</v>
      </c>
      <c r="G946" s="1" t="s">
        <v>16</v>
      </c>
      <c r="H946" s="1">
        <v>83.86</v>
      </c>
      <c r="I946" s="1">
        <v>526.14</v>
      </c>
      <c r="J946" s="1" t="s">
        <v>17</v>
      </c>
      <c r="K946" s="1">
        <v>0.11</v>
      </c>
      <c r="L946" s="1" t="s">
        <v>28</v>
      </c>
      <c r="M946" s="1" t="s">
        <v>19</v>
      </c>
      <c r="N946" s="1">
        <f>SUM(Table3[[#This Row],[Unit_Price]]-Table3[[#This Row],[Unit_Cost]])</f>
        <v>442.28</v>
      </c>
      <c r="O946" s="7"/>
      <c r="P946" s="7"/>
      <c r="Q946" s="7"/>
      <c r="S946"/>
    </row>
    <row r="947" spans="1:19" x14ac:dyDescent="0.3">
      <c r="A947" s="1">
        <v>1056</v>
      </c>
      <c r="B947" s="2">
        <v>44940</v>
      </c>
      <c r="C947" s="1" t="s">
        <v>29</v>
      </c>
      <c r="D947" s="1" t="s">
        <v>44</v>
      </c>
      <c r="E947" s="1">
        <v>5720.5</v>
      </c>
      <c r="F947" s="1">
        <v>25</v>
      </c>
      <c r="G947" s="1" t="s">
        <v>24</v>
      </c>
      <c r="H947" s="1">
        <v>2361.7399999999998</v>
      </c>
      <c r="I947" s="1">
        <v>2584.35</v>
      </c>
      <c r="J947" s="1" t="s">
        <v>17</v>
      </c>
      <c r="K947" s="1">
        <v>0.2</v>
      </c>
      <c r="L947" s="1" t="s">
        <v>18</v>
      </c>
      <c r="M947" s="1" t="s">
        <v>19</v>
      </c>
      <c r="N947" s="1">
        <f>SUM(Table3[[#This Row],[Unit_Price]]-Table3[[#This Row],[Unit_Cost]])</f>
        <v>222.61000000000013</v>
      </c>
      <c r="O947" s="7"/>
      <c r="P947" s="7"/>
      <c r="Q947" s="7"/>
      <c r="S947"/>
    </row>
    <row r="948" spans="1:19" x14ac:dyDescent="0.3">
      <c r="A948" s="1">
        <v>1094</v>
      </c>
      <c r="B948" s="2">
        <v>44938</v>
      </c>
      <c r="C948" s="1" t="s">
        <v>32</v>
      </c>
      <c r="D948" s="1" t="s">
        <v>45</v>
      </c>
      <c r="E948" s="1">
        <v>5835.21</v>
      </c>
      <c r="F948" s="1">
        <v>38</v>
      </c>
      <c r="G948" s="1" t="s">
        <v>24</v>
      </c>
      <c r="H948" s="1">
        <v>3443.98</v>
      </c>
      <c r="I948" s="1">
        <v>3820.3</v>
      </c>
      <c r="J948" s="1" t="s">
        <v>17</v>
      </c>
      <c r="K948" s="1">
        <v>0.01</v>
      </c>
      <c r="L948" s="1" t="s">
        <v>28</v>
      </c>
      <c r="M948" s="1" t="s">
        <v>21</v>
      </c>
      <c r="N948" s="1">
        <f>SUM(Table3[[#This Row],[Unit_Price]]-Table3[[#This Row],[Unit_Cost]])</f>
        <v>376.32000000000016</v>
      </c>
      <c r="O948" s="7"/>
      <c r="P948" s="7"/>
      <c r="Q948" s="7"/>
      <c r="S948"/>
    </row>
    <row r="949" spans="1:19" x14ac:dyDescent="0.3">
      <c r="A949" s="1">
        <v>1063</v>
      </c>
      <c r="B949" s="2">
        <v>45013</v>
      </c>
      <c r="C949" s="1" t="s">
        <v>29</v>
      </c>
      <c r="D949" s="1" t="s">
        <v>46</v>
      </c>
      <c r="E949" s="1">
        <v>4947.28</v>
      </c>
      <c r="F949" s="1">
        <v>42</v>
      </c>
      <c r="G949" s="1" t="s">
        <v>24</v>
      </c>
      <c r="H949" s="1">
        <v>1170.07</v>
      </c>
      <c r="I949" s="1">
        <v>1669.94999999999</v>
      </c>
      <c r="J949" s="1" t="s">
        <v>17</v>
      </c>
      <c r="K949" s="1">
        <v>0.12</v>
      </c>
      <c r="L949" s="1" t="s">
        <v>25</v>
      </c>
      <c r="M949" s="1" t="s">
        <v>21</v>
      </c>
      <c r="N949" s="1">
        <f>SUM(Table3[[#This Row],[Unit_Price]]-Table3[[#This Row],[Unit_Cost]])</f>
        <v>499.8799999999901</v>
      </c>
      <c r="O949" s="7"/>
      <c r="P949" s="7"/>
      <c r="Q949" s="7"/>
      <c r="S949"/>
    </row>
    <row r="950" spans="1:19" x14ac:dyDescent="0.3">
      <c r="A950" s="1">
        <v>1048</v>
      </c>
      <c r="B950" s="2">
        <v>44938</v>
      </c>
      <c r="C950" s="1" t="s">
        <v>29</v>
      </c>
      <c r="D950" s="1" t="s">
        <v>47</v>
      </c>
      <c r="E950" s="1">
        <v>6482.98</v>
      </c>
      <c r="F950" s="1">
        <v>47</v>
      </c>
      <c r="G950" s="1" t="s">
        <v>26</v>
      </c>
      <c r="H950" s="1">
        <v>702.44</v>
      </c>
      <c r="I950" s="1">
        <v>1067.6600000000001</v>
      </c>
      <c r="J950" s="1" t="s">
        <v>27</v>
      </c>
      <c r="K950" s="1">
        <v>0.24</v>
      </c>
      <c r="L950" s="1" t="s">
        <v>18</v>
      </c>
      <c r="M950" s="1" t="s">
        <v>21</v>
      </c>
      <c r="N950" s="1">
        <f>SUM(Table3[[#This Row],[Unit_Price]]-Table3[[#This Row],[Unit_Cost]])</f>
        <v>365.22</v>
      </c>
      <c r="O950" s="7"/>
      <c r="P950" s="7"/>
      <c r="Q950" s="7"/>
      <c r="S950"/>
    </row>
    <row r="951" spans="1:19" x14ac:dyDescent="0.3">
      <c r="A951" s="1">
        <v>1061</v>
      </c>
      <c r="B951" s="2">
        <v>44951</v>
      </c>
      <c r="C951" s="1" t="s">
        <v>14</v>
      </c>
      <c r="D951" s="1" t="s">
        <v>48</v>
      </c>
      <c r="E951" s="1">
        <v>2375.2800000000002</v>
      </c>
      <c r="F951" s="1">
        <v>38</v>
      </c>
      <c r="G951" s="1" t="s">
        <v>16</v>
      </c>
      <c r="H951" s="1">
        <v>4440.8599999999997</v>
      </c>
      <c r="I951" s="1">
        <v>4506.8099999999904</v>
      </c>
      <c r="J951" s="1" t="s">
        <v>17</v>
      </c>
      <c r="K951" s="1">
        <v>0.24</v>
      </c>
      <c r="L951" s="1" t="s">
        <v>25</v>
      </c>
      <c r="M951" s="1" t="s">
        <v>19</v>
      </c>
      <c r="N951" s="1">
        <f>SUM(Table3[[#This Row],[Unit_Price]]-Table3[[#This Row],[Unit_Cost]])</f>
        <v>65.949999999990723</v>
      </c>
      <c r="O951" s="7"/>
      <c r="P951" s="7"/>
      <c r="Q951" s="7"/>
      <c r="S951"/>
    </row>
    <row r="952" spans="1:19" x14ac:dyDescent="0.3">
      <c r="A952" s="1">
        <v>1081</v>
      </c>
      <c r="B952" s="2">
        <v>45227</v>
      </c>
      <c r="C952" s="1" t="s">
        <v>29</v>
      </c>
      <c r="D952" s="1" t="s">
        <v>49</v>
      </c>
      <c r="E952" s="1">
        <v>5571.36</v>
      </c>
      <c r="F952" s="1">
        <v>23</v>
      </c>
      <c r="G952" s="1" t="s">
        <v>24</v>
      </c>
      <c r="H952" s="1">
        <v>1411.37</v>
      </c>
      <c r="I952" s="1">
        <v>1675.35</v>
      </c>
      <c r="J952" s="1" t="s">
        <v>27</v>
      </c>
      <c r="K952" s="1">
        <v>0.21</v>
      </c>
      <c r="L952" s="1" t="s">
        <v>18</v>
      </c>
      <c r="M952" s="1" t="s">
        <v>21</v>
      </c>
      <c r="N952" s="1">
        <f>SUM(Table3[[#This Row],[Unit_Price]]-Table3[[#This Row],[Unit_Cost]])</f>
        <v>263.98</v>
      </c>
      <c r="O952" s="7"/>
      <c r="P952" s="7"/>
      <c r="Q952" s="7"/>
      <c r="S952"/>
    </row>
    <row r="953" spans="1:19" x14ac:dyDescent="0.3">
      <c r="A953" s="1">
        <v>1026</v>
      </c>
      <c r="B953" s="2">
        <v>45169</v>
      </c>
      <c r="C953" s="1" t="s">
        <v>33</v>
      </c>
      <c r="D953" s="1" t="s">
        <v>50</v>
      </c>
      <c r="E953" s="1">
        <v>3784.52</v>
      </c>
      <c r="F953" s="1">
        <v>25</v>
      </c>
      <c r="G953" s="1" t="s">
        <v>31</v>
      </c>
      <c r="H953" s="1">
        <v>1156.8800000000001</v>
      </c>
      <c r="I953" s="1">
        <v>1454.68</v>
      </c>
      <c r="J953" s="1" t="s">
        <v>17</v>
      </c>
      <c r="K953" s="1">
        <v>0.06</v>
      </c>
      <c r="L953" s="1" t="s">
        <v>28</v>
      </c>
      <c r="M953" s="1" t="s">
        <v>19</v>
      </c>
      <c r="N953" s="1">
        <f>SUM(Table3[[#This Row],[Unit_Price]]-Table3[[#This Row],[Unit_Cost]])</f>
        <v>297.79999999999995</v>
      </c>
      <c r="O953" s="7"/>
      <c r="P953" s="7"/>
      <c r="Q953" s="7"/>
      <c r="S953"/>
    </row>
    <row r="954" spans="1:19" x14ac:dyDescent="0.3">
      <c r="A954" s="1">
        <v>1036</v>
      </c>
      <c r="B954" s="2">
        <v>45048</v>
      </c>
      <c r="C954" s="1" t="s">
        <v>22</v>
      </c>
      <c r="D954" s="1" t="s">
        <v>44</v>
      </c>
      <c r="E954" s="1">
        <v>6650.51</v>
      </c>
      <c r="F954" s="1">
        <v>42</v>
      </c>
      <c r="G954" s="1" t="s">
        <v>16</v>
      </c>
      <c r="H954" s="1">
        <v>4292.63</v>
      </c>
      <c r="I954" s="1">
        <v>4387.99</v>
      </c>
      <c r="J954" s="1" t="s">
        <v>27</v>
      </c>
      <c r="K954" s="1">
        <v>7.0000000000000007E-2</v>
      </c>
      <c r="L954" s="1" t="s">
        <v>28</v>
      </c>
      <c r="M954" s="1" t="s">
        <v>21</v>
      </c>
      <c r="N954" s="1">
        <f>SUM(Table3[[#This Row],[Unit_Price]]-Table3[[#This Row],[Unit_Cost]])</f>
        <v>95.359999999999673</v>
      </c>
      <c r="O954" s="7"/>
      <c r="P954" s="7"/>
      <c r="Q954" s="7"/>
      <c r="S954"/>
    </row>
    <row r="955" spans="1:19" x14ac:dyDescent="0.3">
      <c r="A955" s="1">
        <v>1001</v>
      </c>
      <c r="B955" s="2">
        <v>45073</v>
      </c>
      <c r="C955" s="1" t="s">
        <v>33</v>
      </c>
      <c r="D955" s="1" t="s">
        <v>45</v>
      </c>
      <c r="E955" s="1">
        <v>1498.11</v>
      </c>
      <c r="F955" s="1">
        <v>7</v>
      </c>
      <c r="G955" s="1" t="s">
        <v>31</v>
      </c>
      <c r="H955" s="1">
        <v>4094.68</v>
      </c>
      <c r="I955" s="1">
        <v>4576.5</v>
      </c>
      <c r="J955" s="1" t="s">
        <v>27</v>
      </c>
      <c r="K955" s="1">
        <v>0.3</v>
      </c>
      <c r="L955" s="1" t="s">
        <v>18</v>
      </c>
      <c r="M955" s="1" t="s">
        <v>21</v>
      </c>
      <c r="N955" s="1">
        <f>SUM(Table3[[#This Row],[Unit_Price]]-Table3[[#This Row],[Unit_Cost]])</f>
        <v>481.82000000000016</v>
      </c>
      <c r="O955" s="7"/>
      <c r="P955" s="7"/>
      <c r="Q955" s="7"/>
      <c r="S955"/>
    </row>
    <row r="956" spans="1:19" x14ac:dyDescent="0.3">
      <c r="A956" s="1">
        <v>1008</v>
      </c>
      <c r="B956" s="2">
        <v>44981</v>
      </c>
      <c r="C956" s="1" t="s">
        <v>32</v>
      </c>
      <c r="D956" s="1" t="s">
        <v>46</v>
      </c>
      <c r="E956" s="1">
        <v>5751.69</v>
      </c>
      <c r="F956" s="1">
        <v>22</v>
      </c>
      <c r="G956" s="1" t="s">
        <v>31</v>
      </c>
      <c r="H956" s="1">
        <v>2269.3200000000002</v>
      </c>
      <c r="I956" s="1">
        <v>2365.35</v>
      </c>
      <c r="J956" s="1" t="s">
        <v>27</v>
      </c>
      <c r="K956" s="1">
        <v>0.03</v>
      </c>
      <c r="L956" s="1" t="s">
        <v>18</v>
      </c>
      <c r="M956" s="1" t="s">
        <v>21</v>
      </c>
      <c r="N956" s="1">
        <f>SUM(Table3[[#This Row],[Unit_Price]]-Table3[[#This Row],[Unit_Cost]])</f>
        <v>96.029999999999745</v>
      </c>
      <c r="O956" s="7"/>
      <c r="P956" s="7"/>
      <c r="Q956" s="7"/>
      <c r="S956"/>
    </row>
    <row r="957" spans="1:19" x14ac:dyDescent="0.3">
      <c r="A957" s="1">
        <v>1099</v>
      </c>
      <c r="B957" s="2">
        <v>45164</v>
      </c>
      <c r="C957" s="1" t="s">
        <v>22</v>
      </c>
      <c r="D957" s="1" t="s">
        <v>47</v>
      </c>
      <c r="E957" s="1">
        <v>1934.18</v>
      </c>
      <c r="F957" s="1">
        <v>17</v>
      </c>
      <c r="G957" s="1" t="s">
        <v>24</v>
      </c>
      <c r="H957" s="1">
        <v>2471.73</v>
      </c>
      <c r="I957" s="1">
        <v>2568.73</v>
      </c>
      <c r="J957" s="1" t="s">
        <v>27</v>
      </c>
      <c r="K957" s="1">
        <v>0.05</v>
      </c>
      <c r="L957" s="1" t="s">
        <v>18</v>
      </c>
      <c r="M957" s="1" t="s">
        <v>21</v>
      </c>
      <c r="N957" s="1">
        <f>SUM(Table3[[#This Row],[Unit_Price]]-Table3[[#This Row],[Unit_Cost]])</f>
        <v>97</v>
      </c>
      <c r="O957" s="7"/>
      <c r="P957" s="7"/>
      <c r="Q957" s="7"/>
      <c r="S957"/>
    </row>
    <row r="958" spans="1:19" x14ac:dyDescent="0.3">
      <c r="A958" s="1">
        <v>1052</v>
      </c>
      <c r="B958" s="2">
        <v>45282</v>
      </c>
      <c r="C958" s="1" t="s">
        <v>29</v>
      </c>
      <c r="D958" s="1" t="s">
        <v>48</v>
      </c>
      <c r="E958" s="1">
        <v>2858.57</v>
      </c>
      <c r="F958" s="1">
        <v>18</v>
      </c>
      <c r="G958" s="1" t="s">
        <v>24</v>
      </c>
      <c r="H958" s="1">
        <v>1127.8599999999999</v>
      </c>
      <c r="I958" s="1">
        <v>1586.29</v>
      </c>
      <c r="J958" s="1" t="s">
        <v>27</v>
      </c>
      <c r="K958" s="1">
        <v>0.04</v>
      </c>
      <c r="L958" s="1" t="s">
        <v>28</v>
      </c>
      <c r="M958" s="1" t="s">
        <v>19</v>
      </c>
      <c r="N958" s="1">
        <f>SUM(Table3[[#This Row],[Unit_Price]]-Table3[[#This Row],[Unit_Cost]])</f>
        <v>458.43000000000006</v>
      </c>
      <c r="O958" s="7"/>
      <c r="P958" s="7"/>
      <c r="Q958" s="7"/>
      <c r="S958"/>
    </row>
    <row r="959" spans="1:19" x14ac:dyDescent="0.3">
      <c r="A959" s="1">
        <v>1079</v>
      </c>
      <c r="B959" s="2">
        <v>45099</v>
      </c>
      <c r="C959" s="1" t="s">
        <v>32</v>
      </c>
      <c r="D959" s="1" t="s">
        <v>49</v>
      </c>
      <c r="E959" s="1">
        <v>2265.23</v>
      </c>
      <c r="F959" s="1">
        <v>49</v>
      </c>
      <c r="G959" s="1" t="s">
        <v>26</v>
      </c>
      <c r="H959" s="1">
        <v>437.59</v>
      </c>
      <c r="I959" s="1">
        <v>675.54</v>
      </c>
      <c r="J959" s="1" t="s">
        <v>17</v>
      </c>
      <c r="K959" s="1">
        <v>0.1</v>
      </c>
      <c r="L959" s="1" t="s">
        <v>18</v>
      </c>
      <c r="M959" s="1" t="s">
        <v>19</v>
      </c>
      <c r="N959" s="1">
        <f>SUM(Table3[[#This Row],[Unit_Price]]-Table3[[#This Row],[Unit_Cost]])</f>
        <v>237.95</v>
      </c>
      <c r="O959" s="7"/>
      <c r="P959" s="7"/>
      <c r="Q959" s="7"/>
      <c r="S959"/>
    </row>
    <row r="960" spans="1:19" x14ac:dyDescent="0.3">
      <c r="A960" s="1">
        <v>1047</v>
      </c>
      <c r="B960" s="2">
        <v>45147</v>
      </c>
      <c r="C960" s="1" t="s">
        <v>22</v>
      </c>
      <c r="D960" s="1" t="s">
        <v>50</v>
      </c>
      <c r="E960" s="1">
        <v>1910.09</v>
      </c>
      <c r="F960" s="1">
        <v>41</v>
      </c>
      <c r="G960" s="1" t="s">
        <v>26</v>
      </c>
      <c r="H960" s="1">
        <v>2888.49</v>
      </c>
      <c r="I960" s="1">
        <v>2929.45</v>
      </c>
      <c r="J960" s="1" t="s">
        <v>27</v>
      </c>
      <c r="K960" s="1">
        <v>0.06</v>
      </c>
      <c r="L960" s="1" t="s">
        <v>18</v>
      </c>
      <c r="M960" s="1" t="s">
        <v>21</v>
      </c>
      <c r="N960" s="1">
        <f>SUM(Table3[[#This Row],[Unit_Price]]-Table3[[#This Row],[Unit_Cost]])</f>
        <v>40.960000000000036</v>
      </c>
      <c r="O960" s="7"/>
      <c r="P960" s="7"/>
      <c r="Q960" s="7"/>
      <c r="S960"/>
    </row>
    <row r="961" spans="1:19" x14ac:dyDescent="0.3">
      <c r="A961" s="1">
        <v>1056</v>
      </c>
      <c r="B961" s="2">
        <v>45045</v>
      </c>
      <c r="C961" s="1" t="s">
        <v>29</v>
      </c>
      <c r="D961" s="1" t="s">
        <v>44</v>
      </c>
      <c r="E961" s="1">
        <v>8274.5400000000009</v>
      </c>
      <c r="F961" s="1">
        <v>10</v>
      </c>
      <c r="G961" s="1" t="s">
        <v>26</v>
      </c>
      <c r="H961" s="1">
        <v>536.80999999999995</v>
      </c>
      <c r="I961" s="1">
        <v>839.92</v>
      </c>
      <c r="J961" s="1" t="s">
        <v>17</v>
      </c>
      <c r="K961" s="1">
        <v>0.15</v>
      </c>
      <c r="L961" s="1" t="s">
        <v>25</v>
      </c>
      <c r="M961" s="1" t="s">
        <v>19</v>
      </c>
      <c r="N961" s="1">
        <f>SUM(Table3[[#This Row],[Unit_Price]]-Table3[[#This Row],[Unit_Cost]])</f>
        <v>303.11</v>
      </c>
      <c r="O961" s="7"/>
      <c r="P961" s="7"/>
      <c r="Q961" s="7"/>
      <c r="S961"/>
    </row>
    <row r="962" spans="1:19" x14ac:dyDescent="0.3">
      <c r="A962" s="1">
        <v>1086</v>
      </c>
      <c r="B962" s="2">
        <v>45235</v>
      </c>
      <c r="C962" s="1" t="s">
        <v>33</v>
      </c>
      <c r="D962" s="1" t="s">
        <v>45</v>
      </c>
      <c r="E962" s="1">
        <v>2928.5</v>
      </c>
      <c r="F962" s="1">
        <v>10</v>
      </c>
      <c r="G962" s="1" t="s">
        <v>16</v>
      </c>
      <c r="H962" s="1">
        <v>2273.91</v>
      </c>
      <c r="I962" s="1">
        <v>2578.7999999999902</v>
      </c>
      <c r="J962" s="1" t="s">
        <v>27</v>
      </c>
      <c r="K962" s="1">
        <v>0.14000000000000001</v>
      </c>
      <c r="L962" s="1" t="s">
        <v>18</v>
      </c>
      <c r="M962" s="1" t="s">
        <v>19</v>
      </c>
      <c r="N962" s="1">
        <f>SUM(Table3[[#This Row],[Unit_Price]]-Table3[[#This Row],[Unit_Cost]])</f>
        <v>304.88999999999032</v>
      </c>
      <c r="O962" s="7"/>
      <c r="P962" s="7"/>
      <c r="Q962" s="7"/>
      <c r="S962"/>
    </row>
    <row r="963" spans="1:19" x14ac:dyDescent="0.3">
      <c r="A963" s="1">
        <v>1014</v>
      </c>
      <c r="B963" s="2">
        <v>45109</v>
      </c>
      <c r="C963" s="1" t="s">
        <v>22</v>
      </c>
      <c r="D963" s="1" t="s">
        <v>46</v>
      </c>
      <c r="E963" s="1">
        <v>9278.5300000000007</v>
      </c>
      <c r="F963" s="1">
        <v>7</v>
      </c>
      <c r="G963" s="1" t="s">
        <v>26</v>
      </c>
      <c r="H963" s="1">
        <v>4705.46</v>
      </c>
      <c r="I963" s="1">
        <v>4747.07</v>
      </c>
      <c r="J963" s="1" t="s">
        <v>27</v>
      </c>
      <c r="K963" s="1">
        <v>0.27</v>
      </c>
      <c r="L963" s="1" t="s">
        <v>25</v>
      </c>
      <c r="M963" s="1" t="s">
        <v>21</v>
      </c>
      <c r="N963" s="1">
        <f>SUM(Table3[[#This Row],[Unit_Price]]-Table3[[#This Row],[Unit_Cost]])</f>
        <v>41.609999999999673</v>
      </c>
      <c r="O963" s="7"/>
      <c r="P963" s="7"/>
      <c r="Q963" s="7"/>
      <c r="S963"/>
    </row>
    <row r="964" spans="1:19" x14ac:dyDescent="0.3">
      <c r="A964" s="1">
        <v>1090</v>
      </c>
      <c r="B964" s="2">
        <v>45214</v>
      </c>
      <c r="C964" s="1" t="s">
        <v>29</v>
      </c>
      <c r="D964" s="1" t="s">
        <v>47</v>
      </c>
      <c r="E964" s="1">
        <v>9702.27</v>
      </c>
      <c r="F964" s="1">
        <v>48</v>
      </c>
      <c r="G964" s="1" t="s">
        <v>31</v>
      </c>
      <c r="H964" s="1">
        <v>4766.53</v>
      </c>
      <c r="I964" s="1">
        <v>5253.07</v>
      </c>
      <c r="J964" s="1" t="s">
        <v>17</v>
      </c>
      <c r="K964" s="1">
        <v>0.01</v>
      </c>
      <c r="L964" s="1" t="s">
        <v>25</v>
      </c>
      <c r="M964" s="1" t="s">
        <v>19</v>
      </c>
      <c r="N964" s="1">
        <f>SUM(Table3[[#This Row],[Unit_Price]]-Table3[[#This Row],[Unit_Cost]])</f>
        <v>486.53999999999996</v>
      </c>
      <c r="O964" s="7"/>
      <c r="P964" s="7"/>
      <c r="Q964" s="7"/>
      <c r="S964"/>
    </row>
    <row r="965" spans="1:19" x14ac:dyDescent="0.3">
      <c r="A965" s="1">
        <v>1028</v>
      </c>
      <c r="B965" s="2">
        <v>45233</v>
      </c>
      <c r="C965" s="1" t="s">
        <v>33</v>
      </c>
      <c r="D965" s="1" t="s">
        <v>48</v>
      </c>
      <c r="E965" s="1">
        <v>5755.48</v>
      </c>
      <c r="F965" s="1">
        <v>38</v>
      </c>
      <c r="G965" s="1" t="s">
        <v>26</v>
      </c>
      <c r="H965" s="1">
        <v>1234.69</v>
      </c>
      <c r="I965" s="1">
        <v>1511.26</v>
      </c>
      <c r="J965" s="1" t="s">
        <v>27</v>
      </c>
      <c r="K965" s="1">
        <v>0.1</v>
      </c>
      <c r="L965" s="1" t="s">
        <v>25</v>
      </c>
      <c r="M965" s="1" t="s">
        <v>19</v>
      </c>
      <c r="N965" s="1">
        <f>SUM(Table3[[#This Row],[Unit_Price]]-Table3[[#This Row],[Unit_Cost]])</f>
        <v>276.56999999999994</v>
      </c>
      <c r="O965" s="7"/>
      <c r="P965" s="7"/>
      <c r="Q965" s="7"/>
      <c r="S965"/>
    </row>
    <row r="966" spans="1:19" x14ac:dyDescent="0.3">
      <c r="A966" s="1">
        <v>1087</v>
      </c>
      <c r="B966" s="2">
        <v>45226</v>
      </c>
      <c r="C966" s="1" t="s">
        <v>32</v>
      </c>
      <c r="D966" s="1" t="s">
        <v>49</v>
      </c>
      <c r="E966" s="1">
        <v>1515.71</v>
      </c>
      <c r="F966" s="1">
        <v>27</v>
      </c>
      <c r="G966" s="1" t="s">
        <v>24</v>
      </c>
      <c r="H966" s="1">
        <v>3139.36</v>
      </c>
      <c r="I966" s="1">
        <v>3423.66</v>
      </c>
      <c r="J966" s="1" t="s">
        <v>27</v>
      </c>
      <c r="K966" s="1">
        <v>0.18</v>
      </c>
      <c r="L966" s="1" t="s">
        <v>28</v>
      </c>
      <c r="M966" s="1" t="s">
        <v>19</v>
      </c>
      <c r="N966" s="1">
        <f>SUM(Table3[[#This Row],[Unit_Price]]-Table3[[#This Row],[Unit_Cost]])</f>
        <v>284.29999999999973</v>
      </c>
      <c r="O966" s="7"/>
      <c r="P966" s="7"/>
      <c r="Q966" s="7"/>
      <c r="S966"/>
    </row>
    <row r="967" spans="1:19" x14ac:dyDescent="0.3">
      <c r="A967" s="1">
        <v>1078</v>
      </c>
      <c r="B967" s="2">
        <v>45008</v>
      </c>
      <c r="C967" s="1" t="s">
        <v>32</v>
      </c>
      <c r="D967" s="1" t="s">
        <v>50</v>
      </c>
      <c r="E967" s="1">
        <v>3808.03</v>
      </c>
      <c r="F967" s="1">
        <v>33</v>
      </c>
      <c r="G967" s="1" t="s">
        <v>26</v>
      </c>
      <c r="H967" s="1">
        <v>2396.6799999999998</v>
      </c>
      <c r="I967" s="1">
        <v>2661.54</v>
      </c>
      <c r="J967" s="1" t="s">
        <v>27</v>
      </c>
      <c r="K967" s="1">
        <v>0.18</v>
      </c>
      <c r="L967" s="1" t="s">
        <v>25</v>
      </c>
      <c r="M967" s="1" t="s">
        <v>19</v>
      </c>
      <c r="N967" s="1">
        <f>SUM(Table3[[#This Row],[Unit_Price]]-Table3[[#This Row],[Unit_Cost]])</f>
        <v>264.86000000000013</v>
      </c>
      <c r="O967" s="7"/>
      <c r="P967" s="7"/>
      <c r="Q967" s="7"/>
      <c r="S967"/>
    </row>
    <row r="968" spans="1:19" x14ac:dyDescent="0.3">
      <c r="A968" s="1">
        <v>1088</v>
      </c>
      <c r="B968" s="2">
        <v>45137</v>
      </c>
      <c r="C968" s="1" t="s">
        <v>32</v>
      </c>
      <c r="D968" s="1" t="s">
        <v>44</v>
      </c>
      <c r="E968" s="1">
        <v>7997.55</v>
      </c>
      <c r="F968" s="1">
        <v>1</v>
      </c>
      <c r="G968" s="1" t="s">
        <v>16</v>
      </c>
      <c r="H968" s="1">
        <v>4384.6400000000003</v>
      </c>
      <c r="I968" s="1">
        <v>4693.8999999999996</v>
      </c>
      <c r="J968" s="1" t="s">
        <v>27</v>
      </c>
      <c r="K968" s="1">
        <v>0.14000000000000001</v>
      </c>
      <c r="L968" s="1" t="s">
        <v>18</v>
      </c>
      <c r="M968" s="1" t="s">
        <v>21</v>
      </c>
      <c r="N968" s="1">
        <f>SUM(Table3[[#This Row],[Unit_Price]]-Table3[[#This Row],[Unit_Cost]])</f>
        <v>309.25999999999931</v>
      </c>
      <c r="O968" s="7"/>
      <c r="P968" s="7"/>
      <c r="Q968" s="7"/>
      <c r="S968"/>
    </row>
    <row r="969" spans="1:19" x14ac:dyDescent="0.3">
      <c r="A969" s="1">
        <v>1002</v>
      </c>
      <c r="B969" s="2">
        <v>45076</v>
      </c>
      <c r="C969" s="1" t="s">
        <v>32</v>
      </c>
      <c r="D969" s="1" t="s">
        <v>45</v>
      </c>
      <c r="E969" s="1">
        <v>3737.17</v>
      </c>
      <c r="F969" s="1">
        <v>44</v>
      </c>
      <c r="G969" s="1" t="s">
        <v>16</v>
      </c>
      <c r="H969" s="1">
        <v>1393.58</v>
      </c>
      <c r="I969" s="1">
        <v>1533.09</v>
      </c>
      <c r="J969" s="1" t="s">
        <v>17</v>
      </c>
      <c r="K969" s="1">
        <v>0.24</v>
      </c>
      <c r="L969" s="1" t="s">
        <v>28</v>
      </c>
      <c r="M969" s="1" t="s">
        <v>21</v>
      </c>
      <c r="N969" s="1">
        <f>SUM(Table3[[#This Row],[Unit_Price]]-Table3[[#This Row],[Unit_Cost]])</f>
        <v>139.51</v>
      </c>
      <c r="O969" s="7"/>
      <c r="P969" s="7"/>
      <c r="Q969" s="7"/>
      <c r="S969"/>
    </row>
    <row r="970" spans="1:19" x14ac:dyDescent="0.3">
      <c r="A970" s="1">
        <v>1026</v>
      </c>
      <c r="B970" s="2">
        <v>44963</v>
      </c>
      <c r="C970" s="1" t="s">
        <v>14</v>
      </c>
      <c r="D970" s="1" t="s">
        <v>46</v>
      </c>
      <c r="E970" s="1">
        <v>961.47</v>
      </c>
      <c r="F970" s="1">
        <v>34</v>
      </c>
      <c r="G970" s="1" t="s">
        <v>31</v>
      </c>
      <c r="H970" s="1">
        <v>68.33</v>
      </c>
      <c r="I970" s="1">
        <v>219.07999999999899</v>
      </c>
      <c r="J970" s="1" t="s">
        <v>27</v>
      </c>
      <c r="K970" s="1">
        <v>0.02</v>
      </c>
      <c r="L970" s="1" t="s">
        <v>28</v>
      </c>
      <c r="M970" s="1" t="s">
        <v>19</v>
      </c>
      <c r="N970" s="1">
        <f>SUM(Table3[[#This Row],[Unit_Price]]-Table3[[#This Row],[Unit_Cost]])</f>
        <v>150.74999999999898</v>
      </c>
      <c r="O970" s="7"/>
      <c r="P970" s="7"/>
      <c r="Q970" s="7"/>
      <c r="S970"/>
    </row>
    <row r="971" spans="1:19" x14ac:dyDescent="0.3">
      <c r="A971" s="1">
        <v>1014</v>
      </c>
      <c r="B971" s="2">
        <v>45278</v>
      </c>
      <c r="C971" s="1" t="s">
        <v>22</v>
      </c>
      <c r="D971" s="1" t="s">
        <v>47</v>
      </c>
      <c r="E971" s="1">
        <v>5612.17</v>
      </c>
      <c r="F971" s="1">
        <v>4</v>
      </c>
      <c r="G971" s="1" t="s">
        <v>16</v>
      </c>
      <c r="H971" s="1">
        <v>854.68</v>
      </c>
      <c r="I971" s="1">
        <v>1115.24</v>
      </c>
      <c r="J971" s="1" t="s">
        <v>27</v>
      </c>
      <c r="K971" s="1">
        <v>0.24</v>
      </c>
      <c r="L971" s="1" t="s">
        <v>28</v>
      </c>
      <c r="M971" s="1" t="s">
        <v>21</v>
      </c>
      <c r="N971" s="1">
        <f>SUM(Table3[[#This Row],[Unit_Price]]-Table3[[#This Row],[Unit_Cost]])</f>
        <v>260.56000000000006</v>
      </c>
      <c r="O971" s="7"/>
      <c r="P971" s="7"/>
      <c r="Q971" s="7"/>
      <c r="S971"/>
    </row>
    <row r="972" spans="1:19" x14ac:dyDescent="0.3">
      <c r="A972" s="1">
        <v>1059</v>
      </c>
      <c r="B972" s="2">
        <v>45238</v>
      </c>
      <c r="C972" s="1" t="s">
        <v>22</v>
      </c>
      <c r="D972" s="1" t="s">
        <v>48</v>
      </c>
      <c r="E972" s="1">
        <v>8466.7000000000007</v>
      </c>
      <c r="F972" s="1">
        <v>17</v>
      </c>
      <c r="G972" s="1" t="s">
        <v>26</v>
      </c>
      <c r="H972" s="1">
        <v>1780.14</v>
      </c>
      <c r="I972" s="1">
        <v>2185.42</v>
      </c>
      <c r="J972" s="1" t="s">
        <v>17</v>
      </c>
      <c r="K972" s="1">
        <v>0.15</v>
      </c>
      <c r="L972" s="1" t="s">
        <v>28</v>
      </c>
      <c r="M972" s="1" t="s">
        <v>21</v>
      </c>
      <c r="N972" s="1">
        <f>SUM(Table3[[#This Row],[Unit_Price]]-Table3[[#This Row],[Unit_Cost]])</f>
        <v>405.28</v>
      </c>
      <c r="O972" s="7"/>
      <c r="P972" s="7"/>
      <c r="Q972" s="7"/>
      <c r="S972"/>
    </row>
    <row r="973" spans="1:19" x14ac:dyDescent="0.3">
      <c r="A973" s="1">
        <v>1056</v>
      </c>
      <c r="B973" s="2">
        <v>45287</v>
      </c>
      <c r="C973" s="1" t="s">
        <v>14</v>
      </c>
      <c r="D973" s="1" t="s">
        <v>49</v>
      </c>
      <c r="E973" s="1">
        <v>7979.67</v>
      </c>
      <c r="F973" s="1">
        <v>4</v>
      </c>
      <c r="G973" s="1" t="s">
        <v>24</v>
      </c>
      <c r="H973" s="1">
        <v>1612.82</v>
      </c>
      <c r="I973" s="1">
        <v>1647.25</v>
      </c>
      <c r="J973" s="1" t="s">
        <v>17</v>
      </c>
      <c r="K973" s="1">
        <v>0.04</v>
      </c>
      <c r="L973" s="1" t="s">
        <v>28</v>
      </c>
      <c r="M973" s="1" t="s">
        <v>21</v>
      </c>
      <c r="N973" s="1">
        <f>SUM(Table3[[#This Row],[Unit_Price]]-Table3[[#This Row],[Unit_Cost]])</f>
        <v>34.430000000000064</v>
      </c>
      <c r="O973" s="7"/>
      <c r="P973" s="7"/>
      <c r="Q973" s="7"/>
      <c r="S973"/>
    </row>
    <row r="974" spans="1:19" x14ac:dyDescent="0.3">
      <c r="A974" s="1">
        <v>1007</v>
      </c>
      <c r="B974" s="2">
        <v>44985</v>
      </c>
      <c r="C974" s="1" t="s">
        <v>29</v>
      </c>
      <c r="D974" s="1" t="s">
        <v>50</v>
      </c>
      <c r="E974" s="1">
        <v>1833.72</v>
      </c>
      <c r="F974" s="1">
        <v>43</v>
      </c>
      <c r="G974" s="1" t="s">
        <v>16</v>
      </c>
      <c r="H974" s="1">
        <v>3967.25</v>
      </c>
      <c r="I974" s="1">
        <v>4272.92</v>
      </c>
      <c r="J974" s="1" t="s">
        <v>27</v>
      </c>
      <c r="K974" s="1">
        <v>0.27</v>
      </c>
      <c r="L974" s="1" t="s">
        <v>28</v>
      </c>
      <c r="M974" s="1" t="s">
        <v>19</v>
      </c>
      <c r="N974" s="1">
        <f>SUM(Table3[[#This Row],[Unit_Price]]-Table3[[#This Row],[Unit_Cost]])</f>
        <v>305.67000000000007</v>
      </c>
      <c r="O974" s="7"/>
      <c r="P974" s="7"/>
      <c r="Q974" s="7"/>
      <c r="S974"/>
    </row>
    <row r="975" spans="1:19" x14ac:dyDescent="0.3">
      <c r="A975" s="1">
        <v>1003</v>
      </c>
      <c r="B975" s="2">
        <v>45057</v>
      </c>
      <c r="C975" s="1" t="s">
        <v>29</v>
      </c>
      <c r="D975" s="1" t="s">
        <v>44</v>
      </c>
      <c r="E975" s="1">
        <v>6760.37</v>
      </c>
      <c r="F975" s="1">
        <v>26</v>
      </c>
      <c r="G975" s="1" t="s">
        <v>31</v>
      </c>
      <c r="H975" s="1">
        <v>3418.78</v>
      </c>
      <c r="I975" s="1">
        <v>3824.1</v>
      </c>
      <c r="J975" s="1" t="s">
        <v>27</v>
      </c>
      <c r="K975" s="1">
        <v>0.19</v>
      </c>
      <c r="L975" s="1" t="s">
        <v>28</v>
      </c>
      <c r="M975" s="1" t="s">
        <v>19</v>
      </c>
      <c r="N975" s="1">
        <f>SUM(Table3[[#This Row],[Unit_Price]]-Table3[[#This Row],[Unit_Cost]])</f>
        <v>405.31999999999971</v>
      </c>
      <c r="O975" s="7"/>
      <c r="P975" s="7"/>
      <c r="Q975" s="7"/>
      <c r="S975"/>
    </row>
    <row r="976" spans="1:19" x14ac:dyDescent="0.3">
      <c r="A976" s="1">
        <v>1023</v>
      </c>
      <c r="B976" s="2">
        <v>45128</v>
      </c>
      <c r="C976" s="1" t="s">
        <v>32</v>
      </c>
      <c r="D976" s="1" t="s">
        <v>45</v>
      </c>
      <c r="E976" s="1">
        <v>2282.9899999999998</v>
      </c>
      <c r="F976" s="1">
        <v>4</v>
      </c>
      <c r="G976" s="1" t="s">
        <v>26</v>
      </c>
      <c r="H976" s="1">
        <v>1532.8</v>
      </c>
      <c r="I976" s="1">
        <v>1619.69</v>
      </c>
      <c r="J976" s="1" t="s">
        <v>17</v>
      </c>
      <c r="K976" s="1">
        <v>0.05</v>
      </c>
      <c r="L976" s="1" t="s">
        <v>25</v>
      </c>
      <c r="M976" s="1" t="s">
        <v>21</v>
      </c>
      <c r="N976" s="1">
        <f>SUM(Table3[[#This Row],[Unit_Price]]-Table3[[#This Row],[Unit_Cost]])</f>
        <v>86.8900000000001</v>
      </c>
      <c r="O976" s="7"/>
      <c r="P976" s="7"/>
      <c r="Q976" s="7"/>
      <c r="S976"/>
    </row>
    <row r="977" spans="1:19" x14ac:dyDescent="0.3">
      <c r="A977" s="1">
        <v>1018</v>
      </c>
      <c r="B977" s="2">
        <v>45169</v>
      </c>
      <c r="C977" s="1" t="s">
        <v>33</v>
      </c>
      <c r="D977" s="1" t="s">
        <v>46</v>
      </c>
      <c r="E977" s="1">
        <v>2260.25</v>
      </c>
      <c r="F977" s="1">
        <v>1</v>
      </c>
      <c r="G977" s="1" t="s">
        <v>31</v>
      </c>
      <c r="H977" s="1">
        <v>2315.83</v>
      </c>
      <c r="I977" s="1">
        <v>2333.19</v>
      </c>
      <c r="J977" s="1" t="s">
        <v>27</v>
      </c>
      <c r="K977" s="1">
        <v>0.01</v>
      </c>
      <c r="L977" s="1" t="s">
        <v>18</v>
      </c>
      <c r="M977" s="1" t="s">
        <v>21</v>
      </c>
      <c r="N977" s="1">
        <f>SUM(Table3[[#This Row],[Unit_Price]]-Table3[[#This Row],[Unit_Cost]])</f>
        <v>17.360000000000127</v>
      </c>
      <c r="O977" s="7"/>
      <c r="P977" s="7"/>
      <c r="Q977" s="7"/>
      <c r="S977"/>
    </row>
    <row r="978" spans="1:19" x14ac:dyDescent="0.3">
      <c r="A978" s="1">
        <v>1038</v>
      </c>
      <c r="B978" s="2">
        <v>44961</v>
      </c>
      <c r="C978" s="1" t="s">
        <v>29</v>
      </c>
      <c r="D978" s="1" t="s">
        <v>47</v>
      </c>
      <c r="E978" s="1">
        <v>8753.31</v>
      </c>
      <c r="F978" s="1">
        <v>7</v>
      </c>
      <c r="G978" s="1" t="s">
        <v>16</v>
      </c>
      <c r="H978" s="1">
        <v>523.02</v>
      </c>
      <c r="I978" s="1">
        <v>686.25</v>
      </c>
      <c r="J978" s="1" t="s">
        <v>17</v>
      </c>
      <c r="K978" s="1">
        <v>0.04</v>
      </c>
      <c r="L978" s="1" t="s">
        <v>18</v>
      </c>
      <c r="M978" s="1" t="s">
        <v>19</v>
      </c>
      <c r="N978" s="1">
        <f>SUM(Table3[[#This Row],[Unit_Price]]-Table3[[#This Row],[Unit_Cost]])</f>
        <v>163.23000000000002</v>
      </c>
      <c r="O978" s="7"/>
      <c r="P978" s="7"/>
      <c r="Q978" s="7"/>
      <c r="S978"/>
    </row>
    <row r="979" spans="1:19" x14ac:dyDescent="0.3">
      <c r="A979" s="1">
        <v>1099</v>
      </c>
      <c r="B979" s="2">
        <v>45019</v>
      </c>
      <c r="C979" s="1" t="s">
        <v>33</v>
      </c>
      <c r="D979" s="1" t="s">
        <v>48</v>
      </c>
      <c r="E979" s="1">
        <v>2571.7199999999998</v>
      </c>
      <c r="F979" s="1">
        <v>30</v>
      </c>
      <c r="G979" s="1" t="s">
        <v>16</v>
      </c>
      <c r="H979" s="1">
        <v>4495.82</v>
      </c>
      <c r="I979" s="1">
        <v>4794.0099999999902</v>
      </c>
      <c r="J979" s="1" t="s">
        <v>27</v>
      </c>
      <c r="K979" s="1">
        <v>0.18</v>
      </c>
      <c r="L979" s="1" t="s">
        <v>25</v>
      </c>
      <c r="M979" s="1" t="s">
        <v>21</v>
      </c>
      <c r="N979" s="1">
        <f>SUM(Table3[[#This Row],[Unit_Price]]-Table3[[#This Row],[Unit_Cost]])</f>
        <v>298.1899999999905</v>
      </c>
      <c r="O979" s="7"/>
      <c r="P979" s="7"/>
      <c r="Q979" s="7"/>
      <c r="S979"/>
    </row>
    <row r="980" spans="1:19" x14ac:dyDescent="0.3">
      <c r="A980" s="1">
        <v>1015</v>
      </c>
      <c r="B980" s="2">
        <v>45133</v>
      </c>
      <c r="C980" s="1" t="s">
        <v>22</v>
      </c>
      <c r="D980" s="1" t="s">
        <v>49</v>
      </c>
      <c r="E980" s="1">
        <v>2706.15</v>
      </c>
      <c r="F980" s="1">
        <v>9</v>
      </c>
      <c r="G980" s="1" t="s">
        <v>31</v>
      </c>
      <c r="H980" s="1">
        <v>4680.3500000000004</v>
      </c>
      <c r="I980" s="1">
        <v>4758.1099999999997</v>
      </c>
      <c r="J980" s="1" t="s">
        <v>17</v>
      </c>
      <c r="K980" s="1">
        <v>0.05</v>
      </c>
      <c r="L980" s="1" t="s">
        <v>25</v>
      </c>
      <c r="M980" s="1" t="s">
        <v>19</v>
      </c>
      <c r="N980" s="1">
        <f>SUM(Table3[[#This Row],[Unit_Price]]-Table3[[#This Row],[Unit_Cost]])</f>
        <v>77.759999999999309</v>
      </c>
      <c r="O980" s="7"/>
      <c r="P980" s="7"/>
      <c r="Q980" s="7"/>
      <c r="S980"/>
    </row>
    <row r="981" spans="1:19" x14ac:dyDescent="0.3">
      <c r="A981" s="1">
        <v>1064</v>
      </c>
      <c r="B981" s="2">
        <v>45279</v>
      </c>
      <c r="C981" s="1" t="s">
        <v>33</v>
      </c>
      <c r="D981" s="1" t="s">
        <v>50</v>
      </c>
      <c r="E981" s="1">
        <v>106.47</v>
      </c>
      <c r="F981" s="1">
        <v>35</v>
      </c>
      <c r="G981" s="1" t="s">
        <v>26</v>
      </c>
      <c r="H981" s="1">
        <v>4900.03</v>
      </c>
      <c r="I981" s="1">
        <v>5118.83</v>
      </c>
      <c r="J981" s="1" t="s">
        <v>17</v>
      </c>
      <c r="K981" s="1">
        <v>7.0000000000000007E-2</v>
      </c>
      <c r="L981" s="1" t="s">
        <v>28</v>
      </c>
      <c r="M981" s="1" t="s">
        <v>21</v>
      </c>
      <c r="N981" s="1">
        <f>SUM(Table3[[#This Row],[Unit_Price]]-Table3[[#This Row],[Unit_Cost]])</f>
        <v>218.80000000000018</v>
      </c>
      <c r="O981" s="7"/>
      <c r="P981" s="7"/>
      <c r="Q981" s="7"/>
      <c r="S981"/>
    </row>
    <row r="982" spans="1:19" x14ac:dyDescent="0.3">
      <c r="A982" s="1">
        <v>1089</v>
      </c>
      <c r="B982" s="2">
        <v>45258</v>
      </c>
      <c r="C982" s="1" t="s">
        <v>22</v>
      </c>
      <c r="D982" s="1" t="s">
        <v>44</v>
      </c>
      <c r="E982" s="1">
        <v>8719.6200000000008</v>
      </c>
      <c r="F982" s="1">
        <v>8</v>
      </c>
      <c r="G982" s="1" t="s">
        <v>16</v>
      </c>
      <c r="H982" s="1">
        <v>4349.34</v>
      </c>
      <c r="I982" s="1">
        <v>4629.9799999999996</v>
      </c>
      <c r="J982" s="1" t="s">
        <v>17</v>
      </c>
      <c r="K982" s="1">
        <v>0.01</v>
      </c>
      <c r="L982" s="1" t="s">
        <v>28</v>
      </c>
      <c r="M982" s="1" t="s">
        <v>19</v>
      </c>
      <c r="N982" s="1">
        <f>SUM(Table3[[#This Row],[Unit_Price]]-Table3[[#This Row],[Unit_Cost]])</f>
        <v>280.63999999999942</v>
      </c>
      <c r="O982" s="7"/>
      <c r="P982" s="7"/>
      <c r="Q982" s="7"/>
      <c r="S982"/>
    </row>
    <row r="983" spans="1:19" x14ac:dyDescent="0.3">
      <c r="A983" s="1">
        <v>1028</v>
      </c>
      <c r="B983" s="2">
        <v>45231</v>
      </c>
      <c r="C983" s="1" t="s">
        <v>14</v>
      </c>
      <c r="D983" s="1" t="s">
        <v>45</v>
      </c>
      <c r="E983" s="1">
        <v>7946.69</v>
      </c>
      <c r="F983" s="1">
        <v>24</v>
      </c>
      <c r="G983" s="1" t="s">
        <v>24</v>
      </c>
      <c r="H983" s="1">
        <v>911.11</v>
      </c>
      <c r="I983" s="1">
        <v>1214.56</v>
      </c>
      <c r="J983" s="1" t="s">
        <v>27</v>
      </c>
      <c r="K983" s="1">
        <v>0.22</v>
      </c>
      <c r="L983" s="1" t="s">
        <v>25</v>
      </c>
      <c r="M983" s="1" t="s">
        <v>19</v>
      </c>
      <c r="N983" s="1">
        <f>SUM(Table3[[#This Row],[Unit_Price]]-Table3[[#This Row],[Unit_Cost]])</f>
        <v>303.44999999999993</v>
      </c>
      <c r="O983" s="7"/>
      <c r="P983" s="7"/>
      <c r="Q983" s="7"/>
      <c r="S983"/>
    </row>
    <row r="984" spans="1:19" x14ac:dyDescent="0.3">
      <c r="A984" s="1">
        <v>1074</v>
      </c>
      <c r="B984" s="2">
        <v>45276</v>
      </c>
      <c r="C984" s="1" t="s">
        <v>14</v>
      </c>
      <c r="D984" s="1" t="s">
        <v>46</v>
      </c>
      <c r="E984" s="1">
        <v>6310.56</v>
      </c>
      <c r="F984" s="1">
        <v>19</v>
      </c>
      <c r="G984" s="1" t="s">
        <v>16</v>
      </c>
      <c r="H984" s="1">
        <v>278.67</v>
      </c>
      <c r="I984" s="1">
        <v>423.13</v>
      </c>
      <c r="J984" s="1" t="s">
        <v>27</v>
      </c>
      <c r="K984" s="1">
        <v>0.24</v>
      </c>
      <c r="L984" s="1" t="s">
        <v>28</v>
      </c>
      <c r="M984" s="1" t="s">
        <v>19</v>
      </c>
      <c r="N984" s="1">
        <f>SUM(Table3[[#This Row],[Unit_Price]]-Table3[[#This Row],[Unit_Cost]])</f>
        <v>144.45999999999998</v>
      </c>
      <c r="O984" s="7"/>
      <c r="P984" s="7"/>
      <c r="Q984" s="7"/>
      <c r="S984"/>
    </row>
    <row r="985" spans="1:19" x14ac:dyDescent="0.3">
      <c r="A985" s="1">
        <v>1039</v>
      </c>
      <c r="B985" s="2">
        <v>45139</v>
      </c>
      <c r="C985" s="1" t="s">
        <v>32</v>
      </c>
      <c r="D985" s="1" t="s">
        <v>47</v>
      </c>
      <c r="E985" s="1">
        <v>7527.63</v>
      </c>
      <c r="F985" s="1">
        <v>36</v>
      </c>
      <c r="G985" s="1" t="s">
        <v>26</v>
      </c>
      <c r="H985" s="1">
        <v>2919</v>
      </c>
      <c r="I985" s="1">
        <v>3125.01</v>
      </c>
      <c r="J985" s="1" t="s">
        <v>27</v>
      </c>
      <c r="K985" s="1">
        <v>0.24</v>
      </c>
      <c r="L985" s="1" t="s">
        <v>18</v>
      </c>
      <c r="M985" s="1" t="s">
        <v>19</v>
      </c>
      <c r="N985" s="1">
        <f>SUM(Table3[[#This Row],[Unit_Price]]-Table3[[#This Row],[Unit_Cost]])</f>
        <v>206.01000000000022</v>
      </c>
      <c r="O985" s="7"/>
      <c r="P985" s="7"/>
      <c r="Q985" s="7"/>
      <c r="S985"/>
    </row>
    <row r="986" spans="1:19" x14ac:dyDescent="0.3">
      <c r="A986" s="1">
        <v>1057</v>
      </c>
      <c r="B986" s="2">
        <v>45085</v>
      </c>
      <c r="C986" s="1" t="s">
        <v>29</v>
      </c>
      <c r="D986" s="1" t="s">
        <v>48</v>
      </c>
      <c r="E986" s="1">
        <v>1605.28</v>
      </c>
      <c r="F986" s="1">
        <v>43</v>
      </c>
      <c r="G986" s="1" t="s">
        <v>16</v>
      </c>
      <c r="H986" s="1">
        <v>4567.3900000000003</v>
      </c>
      <c r="I986" s="1">
        <v>4958.78</v>
      </c>
      <c r="J986" s="1" t="s">
        <v>27</v>
      </c>
      <c r="K986" s="1">
        <v>0.04</v>
      </c>
      <c r="L986" s="1" t="s">
        <v>18</v>
      </c>
      <c r="M986" s="1" t="s">
        <v>21</v>
      </c>
      <c r="N986" s="1">
        <f>SUM(Table3[[#This Row],[Unit_Price]]-Table3[[#This Row],[Unit_Cost]])</f>
        <v>391.38999999999942</v>
      </c>
      <c r="O986" s="7"/>
      <c r="P986" s="7"/>
      <c r="Q986" s="7"/>
      <c r="S986"/>
    </row>
    <row r="987" spans="1:19" x14ac:dyDescent="0.3">
      <c r="A987" s="1">
        <v>1017</v>
      </c>
      <c r="B987" s="2">
        <v>44950</v>
      </c>
      <c r="C987" s="1" t="s">
        <v>32</v>
      </c>
      <c r="D987" s="1" t="s">
        <v>49</v>
      </c>
      <c r="E987" s="1">
        <v>4637.3999999999996</v>
      </c>
      <c r="F987" s="1">
        <v>27</v>
      </c>
      <c r="G987" s="1" t="s">
        <v>31</v>
      </c>
      <c r="H987" s="1">
        <v>927.89</v>
      </c>
      <c r="I987" s="1">
        <v>1399.09</v>
      </c>
      <c r="J987" s="1" t="s">
        <v>17</v>
      </c>
      <c r="K987" s="1">
        <v>0.27</v>
      </c>
      <c r="L987" s="1" t="s">
        <v>28</v>
      </c>
      <c r="M987" s="1" t="s">
        <v>19</v>
      </c>
      <c r="N987" s="1">
        <f>SUM(Table3[[#This Row],[Unit_Price]]-Table3[[#This Row],[Unit_Cost]])</f>
        <v>471.19999999999993</v>
      </c>
      <c r="O987" s="7"/>
      <c r="P987" s="7"/>
      <c r="Q987" s="7"/>
      <c r="S987"/>
    </row>
    <row r="988" spans="1:19" x14ac:dyDescent="0.3">
      <c r="A988" s="1">
        <v>1086</v>
      </c>
      <c r="B988" s="2">
        <v>45219</v>
      </c>
      <c r="C988" s="1" t="s">
        <v>22</v>
      </c>
      <c r="D988" s="1" t="s">
        <v>50</v>
      </c>
      <c r="E988" s="1">
        <v>3577.07</v>
      </c>
      <c r="F988" s="1">
        <v>32</v>
      </c>
      <c r="G988" s="1" t="s">
        <v>16</v>
      </c>
      <c r="H988" s="1">
        <v>84.86</v>
      </c>
      <c r="I988" s="1">
        <v>517.17999999999995</v>
      </c>
      <c r="J988" s="1" t="s">
        <v>17</v>
      </c>
      <c r="K988" s="1">
        <v>0.2</v>
      </c>
      <c r="L988" s="1" t="s">
        <v>28</v>
      </c>
      <c r="M988" s="1" t="s">
        <v>21</v>
      </c>
      <c r="N988" s="1">
        <f>SUM(Table3[[#This Row],[Unit_Price]]-Table3[[#This Row],[Unit_Cost]])</f>
        <v>432.31999999999994</v>
      </c>
      <c r="O988" s="7"/>
      <c r="P988" s="7"/>
      <c r="Q988" s="7"/>
      <c r="S988"/>
    </row>
    <row r="989" spans="1:19" x14ac:dyDescent="0.3">
      <c r="A989" s="1">
        <v>1090</v>
      </c>
      <c r="B989" s="2">
        <v>44930</v>
      </c>
      <c r="C989" s="1" t="s">
        <v>32</v>
      </c>
      <c r="D989" s="1" t="s">
        <v>44</v>
      </c>
      <c r="E989" s="1">
        <v>1028.3900000000001</v>
      </c>
      <c r="F989" s="1">
        <v>14</v>
      </c>
      <c r="G989" s="1" t="s">
        <v>16</v>
      </c>
      <c r="H989" s="1">
        <v>4037.21</v>
      </c>
      <c r="I989" s="1">
        <v>4323.71</v>
      </c>
      <c r="J989" s="1" t="s">
        <v>17</v>
      </c>
      <c r="K989" s="1">
        <v>0.27</v>
      </c>
      <c r="L989" s="1" t="s">
        <v>28</v>
      </c>
      <c r="M989" s="1" t="s">
        <v>19</v>
      </c>
      <c r="N989" s="1">
        <f>SUM(Table3[[#This Row],[Unit_Price]]-Table3[[#This Row],[Unit_Cost]])</f>
        <v>286.5</v>
      </c>
      <c r="O989" s="7"/>
      <c r="P989" s="7"/>
      <c r="Q989" s="7"/>
      <c r="S989"/>
    </row>
    <row r="990" spans="1:19" x14ac:dyDescent="0.3">
      <c r="A990" s="1">
        <v>1044</v>
      </c>
      <c r="B990" s="2">
        <v>45146</v>
      </c>
      <c r="C990" s="1" t="s">
        <v>33</v>
      </c>
      <c r="D990" s="1" t="s">
        <v>45</v>
      </c>
      <c r="E990" s="1">
        <v>4912.6899999999996</v>
      </c>
      <c r="F990" s="1">
        <v>18</v>
      </c>
      <c r="G990" s="1" t="s">
        <v>26</v>
      </c>
      <c r="H990" s="1">
        <v>430.14</v>
      </c>
      <c r="I990" s="1">
        <v>641.17999999999995</v>
      </c>
      <c r="J990" s="1" t="s">
        <v>27</v>
      </c>
      <c r="K990" s="1">
        <v>0.13</v>
      </c>
      <c r="L990" s="1" t="s">
        <v>18</v>
      </c>
      <c r="M990" s="1" t="s">
        <v>19</v>
      </c>
      <c r="N990" s="1">
        <f>SUM(Table3[[#This Row],[Unit_Price]]-Table3[[#This Row],[Unit_Cost]])</f>
        <v>211.03999999999996</v>
      </c>
      <c r="O990" s="7"/>
      <c r="P990" s="7"/>
      <c r="Q990" s="7"/>
      <c r="S990"/>
    </row>
    <row r="991" spans="1:19" x14ac:dyDescent="0.3">
      <c r="A991" s="1">
        <v>1025</v>
      </c>
      <c r="B991" s="2">
        <v>45290</v>
      </c>
      <c r="C991" s="1" t="s">
        <v>22</v>
      </c>
      <c r="D991" s="1" t="s">
        <v>46</v>
      </c>
      <c r="E991" s="1">
        <v>9215.32</v>
      </c>
      <c r="F991" s="1">
        <v>28</v>
      </c>
      <c r="G991" s="1" t="s">
        <v>31</v>
      </c>
      <c r="H991" s="1">
        <v>2097.84</v>
      </c>
      <c r="I991" s="1">
        <v>2270.9899999999998</v>
      </c>
      <c r="J991" s="1" t="s">
        <v>27</v>
      </c>
      <c r="K991" s="1">
        <v>0.13</v>
      </c>
      <c r="L991" s="1" t="s">
        <v>28</v>
      </c>
      <c r="M991" s="1" t="s">
        <v>21</v>
      </c>
      <c r="N991" s="1">
        <f>SUM(Table3[[#This Row],[Unit_Price]]-Table3[[#This Row],[Unit_Cost]])</f>
        <v>173.14999999999964</v>
      </c>
      <c r="O991" s="7"/>
      <c r="P991" s="7"/>
      <c r="Q991" s="7"/>
      <c r="S991"/>
    </row>
    <row r="992" spans="1:19" x14ac:dyDescent="0.3">
      <c r="A992" s="1">
        <v>1017</v>
      </c>
      <c r="B992" s="2">
        <v>44946</v>
      </c>
      <c r="C992" s="1" t="s">
        <v>14</v>
      </c>
      <c r="D992" s="1" t="s">
        <v>47</v>
      </c>
      <c r="E992" s="1">
        <v>496.59</v>
      </c>
      <c r="F992" s="1">
        <v>29</v>
      </c>
      <c r="G992" s="1" t="s">
        <v>26</v>
      </c>
      <c r="H992" s="1">
        <v>3410.49</v>
      </c>
      <c r="I992" s="1">
        <v>3481.72</v>
      </c>
      <c r="J992" s="1" t="s">
        <v>27</v>
      </c>
      <c r="K992" s="1">
        <v>0.24</v>
      </c>
      <c r="L992" s="1" t="s">
        <v>25</v>
      </c>
      <c r="M992" s="1" t="s">
        <v>21</v>
      </c>
      <c r="N992" s="1">
        <f>SUM(Table3[[#This Row],[Unit_Price]]-Table3[[#This Row],[Unit_Cost]])</f>
        <v>71.230000000000018</v>
      </c>
      <c r="O992" s="7"/>
      <c r="P992" s="7"/>
      <c r="Q992" s="7"/>
      <c r="S992"/>
    </row>
    <row r="993" spans="1:19" x14ac:dyDescent="0.3">
      <c r="A993" s="1">
        <v>1013</v>
      </c>
      <c r="B993" s="2">
        <v>45078</v>
      </c>
      <c r="C993" s="1" t="s">
        <v>29</v>
      </c>
      <c r="D993" s="1" t="s">
        <v>48</v>
      </c>
      <c r="E993" s="1">
        <v>2985.46</v>
      </c>
      <c r="F993" s="1">
        <v>16</v>
      </c>
      <c r="G993" s="1" t="s">
        <v>16</v>
      </c>
      <c r="H993" s="1">
        <v>1222.1500000000001</v>
      </c>
      <c r="I993" s="1">
        <v>1284.3599999999999</v>
      </c>
      <c r="J993" s="1" t="s">
        <v>17</v>
      </c>
      <c r="K993" s="1">
        <v>0.03</v>
      </c>
      <c r="L993" s="1" t="s">
        <v>28</v>
      </c>
      <c r="M993" s="1" t="s">
        <v>21</v>
      </c>
      <c r="N993" s="1">
        <f>SUM(Table3[[#This Row],[Unit_Price]]-Table3[[#This Row],[Unit_Cost]])</f>
        <v>62.209999999999809</v>
      </c>
      <c r="O993" s="7"/>
      <c r="P993" s="7"/>
      <c r="Q993" s="7"/>
      <c r="S993"/>
    </row>
    <row r="994" spans="1:19" x14ac:dyDescent="0.3">
      <c r="A994" s="1">
        <v>1084</v>
      </c>
      <c r="B994" s="2">
        <v>44976</v>
      </c>
      <c r="C994" s="1" t="s">
        <v>22</v>
      </c>
      <c r="D994" s="1" t="s">
        <v>49</v>
      </c>
      <c r="E994" s="1">
        <v>2154.66</v>
      </c>
      <c r="F994" s="1">
        <v>35</v>
      </c>
      <c r="G994" s="1" t="s">
        <v>24</v>
      </c>
      <c r="H994" s="1">
        <v>465.61</v>
      </c>
      <c r="I994" s="1">
        <v>812.91</v>
      </c>
      <c r="J994" s="1" t="s">
        <v>27</v>
      </c>
      <c r="K994" s="1">
        <v>0.16</v>
      </c>
      <c r="L994" s="1" t="s">
        <v>25</v>
      </c>
      <c r="M994" s="1" t="s">
        <v>19</v>
      </c>
      <c r="N994" s="1">
        <f>SUM(Table3[[#This Row],[Unit_Price]]-Table3[[#This Row],[Unit_Cost]])</f>
        <v>347.29999999999995</v>
      </c>
      <c r="O994" s="7"/>
      <c r="P994" s="7"/>
      <c r="Q994" s="7"/>
      <c r="S994"/>
    </row>
    <row r="995" spans="1:19" x14ac:dyDescent="0.3">
      <c r="A995" s="1">
        <v>1025</v>
      </c>
      <c r="B995" s="2">
        <v>45103</v>
      </c>
      <c r="C995" s="1" t="s">
        <v>22</v>
      </c>
      <c r="D995" s="1" t="s">
        <v>50</v>
      </c>
      <c r="E995" s="1">
        <v>2457.65</v>
      </c>
      <c r="F995" s="1">
        <v>47</v>
      </c>
      <c r="G995" s="1" t="s">
        <v>16</v>
      </c>
      <c r="H995" s="1">
        <v>3861.61</v>
      </c>
      <c r="I995" s="1">
        <v>3998.91</v>
      </c>
      <c r="J995" s="1" t="s">
        <v>27</v>
      </c>
      <c r="K995" s="1">
        <v>0.25</v>
      </c>
      <c r="L995" s="1" t="s">
        <v>28</v>
      </c>
      <c r="M995" s="1" t="s">
        <v>19</v>
      </c>
      <c r="N995" s="1">
        <f>SUM(Table3[[#This Row],[Unit_Price]]-Table3[[#This Row],[Unit_Cost]])</f>
        <v>137.29999999999973</v>
      </c>
      <c r="O995" s="7"/>
      <c r="P995" s="7"/>
      <c r="Q995" s="7"/>
      <c r="S995"/>
    </row>
    <row r="996" spans="1:19" x14ac:dyDescent="0.3">
      <c r="A996" s="1">
        <v>1068</v>
      </c>
      <c r="B996" s="2">
        <v>45022</v>
      </c>
      <c r="C996" s="1" t="s">
        <v>33</v>
      </c>
      <c r="D996" s="1" t="s">
        <v>44</v>
      </c>
      <c r="E996" s="1">
        <v>9093.5</v>
      </c>
      <c r="F996" s="1">
        <v>31</v>
      </c>
      <c r="G996" s="1" t="s">
        <v>26</v>
      </c>
      <c r="H996" s="1">
        <v>3169.37</v>
      </c>
      <c r="I996" s="1">
        <v>3304.15</v>
      </c>
      <c r="J996" s="1" t="s">
        <v>17</v>
      </c>
      <c r="K996" s="1">
        <v>0.25</v>
      </c>
      <c r="L996" s="1" t="s">
        <v>28</v>
      </c>
      <c r="M996" s="1" t="s">
        <v>21</v>
      </c>
      <c r="N996" s="1">
        <f>SUM(Table3[[#This Row],[Unit_Price]]-Table3[[#This Row],[Unit_Cost]])</f>
        <v>134.7800000000002</v>
      </c>
      <c r="O996" s="7"/>
      <c r="P996" s="7"/>
      <c r="Q996" s="7"/>
      <c r="S996"/>
    </row>
    <row r="997" spans="1:19" x14ac:dyDescent="0.3">
      <c r="A997" s="1">
        <v>1010</v>
      </c>
      <c r="B997" s="2">
        <v>45031</v>
      </c>
      <c r="C997" s="1" t="s">
        <v>29</v>
      </c>
      <c r="D997" s="1" t="s">
        <v>45</v>
      </c>
      <c r="E997" s="1">
        <v>4733.88</v>
      </c>
      <c r="F997" s="1">
        <v>4</v>
      </c>
      <c r="G997" s="1" t="s">
        <v>24</v>
      </c>
      <c r="H997" s="1">
        <v>4943.03</v>
      </c>
      <c r="I997" s="1">
        <v>5442.15</v>
      </c>
      <c r="J997" s="1" t="s">
        <v>17</v>
      </c>
      <c r="K997" s="1">
        <v>0.28999999999999998</v>
      </c>
      <c r="L997" s="1" t="s">
        <v>18</v>
      </c>
      <c r="M997" s="1" t="s">
        <v>19</v>
      </c>
      <c r="N997" s="1">
        <f>SUM(Table3[[#This Row],[Unit_Price]]-Table3[[#This Row],[Unit_Cost]])</f>
        <v>499.11999999999989</v>
      </c>
      <c r="O997" s="7"/>
      <c r="P997" s="7"/>
      <c r="Q997" s="7"/>
      <c r="S997"/>
    </row>
    <row r="998" spans="1:19" x14ac:dyDescent="0.3">
      <c r="A998" s="1">
        <v>1067</v>
      </c>
      <c r="B998" s="2">
        <v>45176</v>
      </c>
      <c r="C998" s="1" t="s">
        <v>14</v>
      </c>
      <c r="D998" s="1" t="s">
        <v>46</v>
      </c>
      <c r="E998" s="1">
        <v>4716.3599999999997</v>
      </c>
      <c r="F998" s="1">
        <v>37</v>
      </c>
      <c r="G998" s="1" t="s">
        <v>26</v>
      </c>
      <c r="H998" s="1">
        <v>1754.32</v>
      </c>
      <c r="I998" s="1">
        <v>1856.3999999999901</v>
      </c>
      <c r="J998" s="1" t="s">
        <v>27</v>
      </c>
      <c r="K998" s="1">
        <v>0.21</v>
      </c>
      <c r="L998" s="1" t="s">
        <v>25</v>
      </c>
      <c r="M998" s="1" t="s">
        <v>21</v>
      </c>
      <c r="N998" s="1">
        <f>SUM(Table3[[#This Row],[Unit_Price]]-Table3[[#This Row],[Unit_Cost]])</f>
        <v>102.07999999999015</v>
      </c>
      <c r="O998" s="7"/>
      <c r="P998" s="7"/>
      <c r="Q998" s="7"/>
      <c r="S998"/>
    </row>
    <row r="999" spans="1:19" x14ac:dyDescent="0.3">
      <c r="A999" s="1">
        <v>1018</v>
      </c>
      <c r="B999" s="2">
        <v>45043</v>
      </c>
      <c r="C999" s="1" t="s">
        <v>22</v>
      </c>
      <c r="D999" s="1" t="s">
        <v>47</v>
      </c>
      <c r="E999" s="1">
        <v>7629.7</v>
      </c>
      <c r="F999" s="1">
        <v>17</v>
      </c>
      <c r="G999" s="1" t="s">
        <v>26</v>
      </c>
      <c r="H999" s="1">
        <v>355.72</v>
      </c>
      <c r="I999" s="1">
        <v>438.27</v>
      </c>
      <c r="J999" s="1" t="s">
        <v>17</v>
      </c>
      <c r="K999" s="1">
        <v>0.06</v>
      </c>
      <c r="L999" s="1" t="s">
        <v>25</v>
      </c>
      <c r="M999" s="1" t="s">
        <v>19</v>
      </c>
      <c r="N999" s="1">
        <f>SUM(Table3[[#This Row],[Unit_Price]]-Table3[[#This Row],[Unit_Cost]])</f>
        <v>82.549999999999955</v>
      </c>
      <c r="O999" s="7"/>
      <c r="P999" s="7"/>
      <c r="Q999" s="7"/>
      <c r="S999"/>
    </row>
    <row r="1000" spans="1:19" x14ac:dyDescent="0.3">
      <c r="A1000" s="1">
        <v>1100</v>
      </c>
      <c r="B1000" s="2">
        <v>45280</v>
      </c>
      <c r="C1000" s="1" t="s">
        <v>22</v>
      </c>
      <c r="D1000" s="1" t="s">
        <v>48</v>
      </c>
      <c r="E1000" s="1">
        <v>1629.47</v>
      </c>
      <c r="F1000" s="1">
        <v>39</v>
      </c>
      <c r="G1000" s="1" t="s">
        <v>31</v>
      </c>
      <c r="H1000" s="1">
        <v>3685.03</v>
      </c>
      <c r="I1000" s="1">
        <v>3743.39</v>
      </c>
      <c r="J1000" s="1" t="s">
        <v>27</v>
      </c>
      <c r="K1000" s="1">
        <v>0.01</v>
      </c>
      <c r="L1000" s="1" t="s">
        <v>25</v>
      </c>
      <c r="M1000" s="1" t="s">
        <v>19</v>
      </c>
      <c r="N1000" s="1">
        <f>SUM(Table3[[#This Row],[Unit_Price]]-Table3[[#This Row],[Unit_Cost]])</f>
        <v>58.359999999999673</v>
      </c>
      <c r="O1000" s="7"/>
      <c r="P1000" s="7"/>
      <c r="Q1000" s="7"/>
      <c r="S1000"/>
    </row>
    <row r="1001" spans="1:19" x14ac:dyDescent="0.3">
      <c r="A1001" s="1">
        <v>1086</v>
      </c>
      <c r="B1001" s="2">
        <v>45154</v>
      </c>
      <c r="C1001" s="1" t="s">
        <v>33</v>
      </c>
      <c r="D1001" s="1" t="s">
        <v>49</v>
      </c>
      <c r="E1001" s="1">
        <v>4923.93</v>
      </c>
      <c r="F1001" s="1">
        <v>48</v>
      </c>
      <c r="G1001" s="1" t="s">
        <v>24</v>
      </c>
      <c r="H1001" s="1">
        <v>2632.58</v>
      </c>
      <c r="I1001" s="1">
        <v>2926.68</v>
      </c>
      <c r="J1001" s="1" t="s">
        <v>17</v>
      </c>
      <c r="K1001" s="1">
        <v>0.14000000000000001</v>
      </c>
      <c r="L1001" s="1" t="s">
        <v>18</v>
      </c>
      <c r="M1001" s="1" t="s">
        <v>19</v>
      </c>
      <c r="N1001" s="1">
        <f>SUM(Table3[[#This Row],[Unit_Price]]-Table3[[#This Row],[Unit_Cost]])</f>
        <v>294.09999999999991</v>
      </c>
      <c r="O1001" s="7"/>
      <c r="P1001" s="7"/>
      <c r="Q1001" s="7"/>
      <c r="S1001"/>
    </row>
  </sheetData>
  <mergeCells count="5">
    <mergeCell ref="AD22:AE22"/>
    <mergeCell ref="AD26:AE26"/>
    <mergeCell ref="AD30:AE30"/>
    <mergeCell ref="AD34:AE34"/>
    <mergeCell ref="AD38:AE38"/>
  </mergeCells>
  <phoneticPr fontId="19" type="noConversion"/>
  <dataValidations count="1">
    <dataValidation type="list" allowBlank="1" showInputMessage="1" showErrorMessage="1" sqref="AF2" xr:uid="{C8AAC427-5D93-4BCF-9FCB-B8125BE999EA}">
      <formula1>$A$2:$A$1001</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 Dashboard</vt:lpstr>
      <vt:lpstr>Sheet3</vt:lpstr>
      <vt:lpstr>Sheet1</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sridhar s</dc:creator>
  <cp:lastModifiedBy>sridhar s</cp:lastModifiedBy>
  <dcterms:created xsi:type="dcterms:W3CDTF">2026-02-04T03:29:47Z</dcterms:created>
  <dcterms:modified xsi:type="dcterms:W3CDTF">2026-02-21T14:23:45Z</dcterms:modified>
</cp:coreProperties>
</file>